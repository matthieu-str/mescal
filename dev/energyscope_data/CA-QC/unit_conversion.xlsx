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tth\PycharmProjects\EnergyScope-Quebec\projects\lca\02_Regionalization\01_Notebooks\Data\"/>
    </mc:Choice>
  </mc:AlternateContent>
  <xr:revisionPtr revIDLastSave="0" documentId="13_ncr:1_{953C6B13-0CE0-4D1F-B6B6-E6A203DB506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Sheet1!$A$1:$F$1318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69" i="1" l="1"/>
  <c r="C1167" i="1"/>
  <c r="C1165" i="1"/>
  <c r="C1163" i="1"/>
  <c r="C1161" i="1"/>
  <c r="C1159" i="1"/>
  <c r="C1157" i="1"/>
  <c r="C1155" i="1"/>
  <c r="C1153" i="1"/>
  <c r="C1151" i="1"/>
  <c r="C1149" i="1"/>
  <c r="C1147" i="1"/>
  <c r="C1145" i="1"/>
  <c r="C704" i="1"/>
  <c r="C703" i="1"/>
  <c r="C568" i="1"/>
  <c r="C567" i="1"/>
  <c r="C1233" i="1"/>
  <c r="C1231" i="1"/>
  <c r="C1232" i="1"/>
  <c r="C817" i="1"/>
  <c r="C815" i="1"/>
  <c r="C813" i="1"/>
  <c r="C811" i="1"/>
  <c r="C809" i="1"/>
  <c r="C807" i="1"/>
  <c r="C805" i="1"/>
  <c r="C803" i="1"/>
  <c r="C801" i="1"/>
  <c r="C799" i="1"/>
  <c r="C797" i="1"/>
  <c r="C795" i="1"/>
  <c r="C793" i="1"/>
  <c r="C791" i="1"/>
  <c r="C789" i="1"/>
  <c r="C787" i="1"/>
  <c r="C785" i="1"/>
  <c r="C783" i="1"/>
  <c r="C781" i="1"/>
  <c r="C779" i="1"/>
  <c r="C777" i="1"/>
  <c r="C775" i="1"/>
  <c r="C773" i="1"/>
  <c r="C771" i="1"/>
  <c r="C769" i="1"/>
  <c r="C767" i="1"/>
  <c r="C765" i="1"/>
  <c r="C763" i="1"/>
  <c r="C761" i="1"/>
  <c r="C759" i="1"/>
  <c r="C757" i="1"/>
  <c r="C755" i="1"/>
  <c r="C753" i="1"/>
  <c r="C751" i="1"/>
  <c r="C749" i="1"/>
  <c r="C747" i="1"/>
  <c r="C745" i="1"/>
  <c r="C743" i="1"/>
  <c r="C741" i="1"/>
  <c r="C739" i="1"/>
  <c r="C737" i="1"/>
  <c r="C735" i="1"/>
  <c r="C733" i="1"/>
  <c r="C731" i="1"/>
  <c r="C729" i="1"/>
  <c r="C727" i="1"/>
  <c r="C725" i="1"/>
  <c r="C723" i="1"/>
  <c r="C959" i="1"/>
  <c r="C972" i="1"/>
  <c r="C958" i="1"/>
  <c r="C172" i="1"/>
  <c r="C171" i="1"/>
  <c r="C170" i="1"/>
  <c r="C169" i="1"/>
  <c r="C168" i="1"/>
  <c r="C167" i="1"/>
  <c r="C166" i="1"/>
  <c r="C165" i="1"/>
  <c r="C1190" i="1"/>
  <c r="C1188" i="1"/>
  <c r="C1170" i="1"/>
  <c r="C1168" i="1"/>
  <c r="C1023" i="1"/>
  <c r="C1022" i="1"/>
  <c r="C1021" i="1"/>
  <c r="C1020" i="1"/>
  <c r="C1019" i="1"/>
  <c r="C1018" i="1"/>
  <c r="C1017" i="1"/>
  <c r="C1016" i="1"/>
  <c r="C881" i="1"/>
  <c r="C879" i="1"/>
  <c r="C877" i="1"/>
  <c r="C875" i="1"/>
  <c r="C827" i="1"/>
  <c r="C829" i="1"/>
  <c r="C251" i="1"/>
  <c r="C250" i="1"/>
  <c r="C249" i="1"/>
  <c r="C248" i="1"/>
  <c r="C247" i="1"/>
  <c r="C246" i="1"/>
  <c r="C1193" i="1"/>
  <c r="C1192" i="1"/>
  <c r="C900" i="1"/>
  <c r="C899" i="1"/>
  <c r="C898" i="1"/>
  <c r="C897" i="1"/>
  <c r="C896" i="1"/>
  <c r="C895" i="1"/>
  <c r="C893" i="1"/>
  <c r="C892" i="1"/>
  <c r="C891" i="1"/>
  <c r="C890" i="1"/>
  <c r="C889" i="1"/>
  <c r="C888" i="1"/>
  <c r="C887" i="1"/>
  <c r="C886" i="1"/>
  <c r="C686" i="1"/>
  <c r="C1141" i="1"/>
  <c r="C1140" i="1"/>
  <c r="C1139" i="1"/>
  <c r="C1138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3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1205" i="1"/>
  <c r="C1203" i="1"/>
  <c r="C1201" i="1"/>
  <c r="C1199" i="1"/>
  <c r="C1206" i="1"/>
  <c r="C1204" i="1"/>
  <c r="C1202" i="1"/>
  <c r="C1200" i="1"/>
  <c r="C546" i="1"/>
  <c r="C529" i="1"/>
  <c r="C443" i="1"/>
  <c r="C377" i="1"/>
  <c r="C1260" i="1"/>
  <c r="C1312" i="1"/>
  <c r="C1310" i="1"/>
  <c r="C1306" i="1"/>
  <c r="C1308" i="1"/>
  <c r="C1304" i="1"/>
  <c r="C1302" i="1"/>
  <c r="C1300" i="1"/>
  <c r="C1298" i="1"/>
  <c r="C1296" i="1"/>
  <c r="C1294" i="1"/>
  <c r="C1292" i="1"/>
  <c r="C1290" i="1"/>
  <c r="C1196" i="1"/>
  <c r="C1289" i="1"/>
  <c r="C1288" i="1"/>
  <c r="C1287" i="1"/>
  <c r="C1286" i="1"/>
  <c r="C1285" i="1"/>
  <c r="C1284" i="1"/>
  <c r="C1283" i="1"/>
  <c r="C1282" i="1"/>
  <c r="C1281" i="1"/>
  <c r="C1280" i="1"/>
  <c r="C1279" i="1"/>
  <c r="C1278" i="1"/>
  <c r="C1277" i="1"/>
  <c r="C1276" i="1"/>
  <c r="C1275" i="1"/>
  <c r="C1274" i="1"/>
  <c r="C1273" i="1"/>
  <c r="C1272" i="1"/>
  <c r="C1271" i="1"/>
  <c r="C1270" i="1"/>
  <c r="C1269" i="1"/>
  <c r="C1268" i="1"/>
  <c r="C1267" i="1"/>
  <c r="C1266" i="1"/>
  <c r="C1265" i="1"/>
  <c r="C1264" i="1"/>
  <c r="C285" i="1"/>
  <c r="C283" i="1"/>
  <c r="C305" i="1"/>
  <c r="C306" i="1"/>
  <c r="C1115" i="1"/>
  <c r="C565" i="1"/>
  <c r="C1112" i="1"/>
  <c r="C562" i="1"/>
  <c r="C1109" i="1"/>
  <c r="C559" i="1"/>
  <c r="C432" i="1"/>
  <c r="C429" i="1"/>
  <c r="C426" i="1"/>
  <c r="C1104" i="1"/>
  <c r="C553" i="1"/>
  <c r="C1106" i="1"/>
  <c r="C555" i="1"/>
  <c r="C1102" i="1"/>
  <c r="C551" i="1"/>
  <c r="C422" i="1"/>
  <c r="C420" i="1"/>
  <c r="C418" i="1"/>
  <c r="C1051" i="1"/>
  <c r="C1055" i="1"/>
  <c r="C1054" i="1"/>
  <c r="C367" i="1"/>
  <c r="C363" i="1"/>
  <c r="C328" i="1"/>
  <c r="C325" i="1"/>
  <c r="C324" i="1"/>
  <c r="C320" i="1"/>
  <c r="C698" i="1"/>
  <c r="C696" i="1"/>
  <c r="C21" i="1" l="1"/>
  <c r="C20" i="1"/>
  <c r="C1259" i="1"/>
  <c r="C1247" i="1"/>
  <c r="C1246" i="1"/>
  <c r="C1245" i="1"/>
  <c r="C1184" i="1"/>
  <c r="C1180" i="1"/>
  <c r="C1176" i="1"/>
  <c r="C1172" i="1"/>
  <c r="C1101" i="1"/>
  <c r="C1099" i="1"/>
  <c r="C1095" i="1"/>
  <c r="C1084" i="1"/>
  <c r="C1083" i="1"/>
  <c r="C1080" i="1"/>
  <c r="C1078" i="1"/>
  <c r="C1072" i="1"/>
  <c r="C1067" i="1"/>
  <c r="C1063" i="1"/>
  <c r="C1062" i="1"/>
  <c r="C1061" i="1"/>
  <c r="C1060" i="1"/>
  <c r="C1057" i="1"/>
  <c r="C1052" i="1"/>
  <c r="C1047" i="1"/>
  <c r="C1046" i="1"/>
  <c r="C1043" i="1"/>
  <c r="C1041" i="1"/>
  <c r="C937" i="1"/>
  <c r="C936" i="1"/>
  <c r="C935" i="1"/>
  <c r="C871" i="1"/>
  <c r="C867" i="1"/>
  <c r="C863" i="1"/>
  <c r="C859" i="1"/>
  <c r="C855" i="1"/>
  <c r="C851" i="1"/>
  <c r="C847" i="1"/>
  <c r="C843" i="1"/>
  <c r="C839" i="1"/>
  <c r="C835" i="1"/>
  <c r="C620" i="1"/>
  <c r="C618" i="1"/>
  <c r="C544" i="1"/>
  <c r="C542" i="1"/>
  <c r="C538" i="1"/>
  <c r="C531" i="1"/>
  <c r="C489" i="1"/>
  <c r="C482" i="1"/>
  <c r="C481" i="1"/>
  <c r="C476" i="1"/>
  <c r="C475" i="1"/>
  <c r="C474" i="1"/>
  <c r="C473" i="1"/>
  <c r="C469" i="1"/>
  <c r="C468" i="1"/>
  <c r="C467" i="1"/>
  <c r="C465" i="1"/>
  <c r="C463" i="1"/>
  <c r="C459" i="1"/>
  <c r="C457" i="1"/>
  <c r="C455" i="1"/>
  <c r="C442" i="1"/>
  <c r="C391" i="1"/>
  <c r="C388" i="1"/>
  <c r="C386" i="1"/>
  <c r="C384" i="1"/>
  <c r="C380" i="1"/>
  <c r="C379" i="1"/>
  <c r="C371" i="1"/>
  <c r="C369" i="1"/>
  <c r="C364" i="1"/>
  <c r="C359" i="1"/>
  <c r="C356" i="1"/>
  <c r="C351" i="1"/>
  <c r="C347" i="1"/>
  <c r="C343" i="1"/>
  <c r="C342" i="1"/>
  <c r="C341" i="1"/>
  <c r="C340" i="1"/>
  <c r="C335" i="1"/>
  <c r="C332" i="1"/>
  <c r="C326" i="1"/>
  <c r="C321" i="1"/>
  <c r="C316" i="1"/>
  <c r="C315" i="1"/>
  <c r="C296" i="1"/>
  <c r="C30" i="1"/>
  <c r="C984" i="1"/>
  <c r="C981" i="1"/>
  <c r="C974" i="1"/>
  <c r="C963" i="1"/>
  <c r="C957" i="1"/>
  <c r="C1258" i="1"/>
  <c r="C1257" i="1"/>
  <c r="C1256" i="1"/>
  <c r="C1255" i="1"/>
  <c r="C1254" i="1"/>
  <c r="C1253" i="1"/>
  <c r="C1252" i="1"/>
  <c r="C1216" i="1"/>
  <c r="C1215" i="1"/>
  <c r="C1214" i="1"/>
  <c r="C1251" i="1"/>
  <c r="C1250" i="1"/>
  <c r="C1249" i="1"/>
  <c r="C1248" i="1"/>
  <c r="C1244" i="1"/>
  <c r="C1243" i="1"/>
  <c r="C1242" i="1"/>
  <c r="C1241" i="1"/>
  <c r="C1240" i="1"/>
  <c r="C1239" i="1"/>
  <c r="C1238" i="1"/>
  <c r="C1237" i="1"/>
  <c r="C1236" i="1"/>
  <c r="C1235" i="1"/>
  <c r="C1234" i="1"/>
  <c r="C1230" i="1"/>
  <c r="C1229" i="1"/>
  <c r="C1228" i="1"/>
  <c r="C1227" i="1"/>
  <c r="C1226" i="1"/>
  <c r="C1225" i="1"/>
  <c r="C1224" i="1"/>
  <c r="C1223" i="1"/>
  <c r="C1222" i="1"/>
  <c r="C1221" i="1"/>
  <c r="C1220" i="1"/>
  <c r="C1219" i="1"/>
  <c r="C1218" i="1"/>
  <c r="C1217" i="1"/>
  <c r="C1213" i="1"/>
  <c r="C1212" i="1"/>
  <c r="C1211" i="1"/>
  <c r="C1210" i="1"/>
  <c r="C1209" i="1"/>
  <c r="C1208" i="1"/>
  <c r="C1207" i="1"/>
  <c r="C947" i="1"/>
  <c r="C948" i="1"/>
  <c r="C938" i="1"/>
  <c r="C2" i="1"/>
  <c r="C1198" i="1"/>
  <c r="C1197" i="1"/>
  <c r="C1195" i="1"/>
  <c r="C1194" i="1"/>
  <c r="C1191" i="1"/>
  <c r="C1189" i="1"/>
  <c r="C1171" i="1"/>
  <c r="C1166" i="1"/>
  <c r="C1164" i="1"/>
  <c r="C1162" i="1"/>
  <c r="C1160" i="1"/>
  <c r="C1158" i="1"/>
  <c r="C1156" i="1"/>
  <c r="C1154" i="1"/>
  <c r="C1152" i="1"/>
  <c r="C1150" i="1"/>
  <c r="C1148" i="1"/>
  <c r="C1146" i="1"/>
  <c r="C1144" i="1"/>
  <c r="C1143" i="1"/>
  <c r="C1142" i="1"/>
  <c r="C1137" i="1"/>
  <c r="C1136" i="1"/>
  <c r="C1135" i="1"/>
  <c r="C1134" i="1"/>
  <c r="C1133" i="1"/>
  <c r="C1132" i="1"/>
  <c r="C1131" i="1"/>
  <c r="C1130" i="1"/>
  <c r="C1129" i="1"/>
  <c r="C1128" i="1"/>
  <c r="C1127" i="1"/>
  <c r="C1126" i="1"/>
  <c r="C1125" i="1"/>
  <c r="C1124" i="1"/>
  <c r="C1122" i="1"/>
  <c r="C1121" i="1"/>
  <c r="C1120" i="1"/>
  <c r="C1119" i="1"/>
  <c r="C1118" i="1"/>
  <c r="C1117" i="1"/>
  <c r="C1116" i="1"/>
  <c r="C1114" i="1"/>
  <c r="C1113" i="1"/>
  <c r="C1111" i="1"/>
  <c r="C1110" i="1"/>
  <c r="C1108" i="1"/>
  <c r="C1107" i="1"/>
  <c r="C1105" i="1"/>
  <c r="C1103" i="1"/>
  <c r="C1100" i="1"/>
  <c r="C1098" i="1"/>
  <c r="C1097" i="1"/>
  <c r="C1096" i="1"/>
  <c r="C1094" i="1"/>
  <c r="C1093" i="1"/>
  <c r="C1092" i="1"/>
  <c r="C1091" i="1"/>
  <c r="C1090" i="1"/>
  <c r="C1089" i="1"/>
  <c r="C1088" i="1"/>
  <c r="C1082" i="1"/>
  <c r="C1079" i="1"/>
  <c r="C1077" i="1"/>
  <c r="C1076" i="1"/>
  <c r="C1075" i="1"/>
  <c r="C1074" i="1"/>
  <c r="C1073" i="1"/>
  <c r="C1071" i="1"/>
  <c r="C1066" i="1"/>
  <c r="C1065" i="1"/>
  <c r="C1058" i="1"/>
  <c r="C1056" i="1"/>
  <c r="C1045" i="1"/>
  <c r="C1042" i="1"/>
  <c r="C1040" i="1"/>
  <c r="C1039" i="1"/>
  <c r="C1038" i="1"/>
  <c r="C1037" i="1"/>
  <c r="C1036" i="1"/>
  <c r="C1035" i="1"/>
  <c r="C1034" i="1"/>
  <c r="C1033" i="1"/>
  <c r="C1032" i="1"/>
  <c r="C1031" i="1"/>
  <c r="C1030" i="1"/>
  <c r="C1029" i="1"/>
  <c r="C1028" i="1"/>
  <c r="C1027" i="1"/>
  <c r="C1026" i="1"/>
  <c r="C1025" i="1"/>
  <c r="C1024" i="1"/>
  <c r="C1015" i="1"/>
  <c r="C1014" i="1"/>
  <c r="C1013" i="1"/>
  <c r="C1012" i="1"/>
  <c r="C1011" i="1"/>
  <c r="C1010" i="1"/>
  <c r="C1009" i="1"/>
  <c r="C1008" i="1"/>
  <c r="C1007" i="1"/>
  <c r="C1006" i="1"/>
  <c r="C1005" i="1"/>
  <c r="C1004" i="1"/>
  <c r="C1003" i="1"/>
  <c r="C1002" i="1"/>
  <c r="C1001" i="1"/>
  <c r="C1000" i="1"/>
  <c r="C999" i="1"/>
  <c r="C998" i="1"/>
  <c r="C997" i="1"/>
  <c r="C996" i="1"/>
  <c r="C995" i="1"/>
  <c r="C994" i="1"/>
  <c r="C993" i="1"/>
  <c r="C992" i="1"/>
  <c r="C991" i="1"/>
  <c r="C990" i="1"/>
  <c r="C989" i="1"/>
  <c r="C988" i="1"/>
  <c r="C987" i="1"/>
  <c r="C986" i="1"/>
  <c r="C985" i="1"/>
  <c r="C983" i="1"/>
  <c r="C982" i="1"/>
  <c r="C980" i="1"/>
  <c r="C979" i="1"/>
  <c r="C978" i="1"/>
  <c r="C977" i="1"/>
  <c r="C976" i="1"/>
  <c r="C975" i="1"/>
  <c r="C973" i="1"/>
  <c r="C971" i="1"/>
  <c r="C970" i="1"/>
  <c r="C969" i="1"/>
  <c r="C968" i="1"/>
  <c r="C967" i="1"/>
  <c r="C966" i="1"/>
  <c r="C965" i="1"/>
  <c r="C964" i="1"/>
  <c r="C962" i="1"/>
  <c r="C961" i="1"/>
  <c r="C960" i="1"/>
  <c r="C956" i="1"/>
  <c r="C955" i="1"/>
  <c r="C954" i="1"/>
  <c r="C953" i="1"/>
  <c r="C952" i="1"/>
  <c r="C951" i="1"/>
  <c r="C944" i="1"/>
  <c r="C943" i="1"/>
  <c r="C940" i="1"/>
  <c r="C939" i="1"/>
  <c r="C934" i="1"/>
  <c r="C933" i="1"/>
  <c r="C932" i="1"/>
  <c r="C931" i="1"/>
  <c r="C930" i="1"/>
  <c r="C929" i="1"/>
  <c r="C928" i="1"/>
  <c r="C927" i="1"/>
  <c r="C926" i="1"/>
  <c r="C925" i="1"/>
  <c r="C924" i="1"/>
  <c r="C923" i="1"/>
  <c r="C922" i="1"/>
  <c r="C921" i="1"/>
  <c r="C920" i="1"/>
  <c r="C919" i="1"/>
  <c r="C918" i="1"/>
  <c r="C917" i="1"/>
  <c r="C916" i="1"/>
  <c r="C915" i="1"/>
  <c r="C914" i="1"/>
  <c r="C913" i="1"/>
  <c r="C912" i="1"/>
  <c r="C911" i="1"/>
  <c r="C910" i="1"/>
  <c r="C909" i="1"/>
  <c r="C908" i="1"/>
  <c r="C907" i="1"/>
  <c r="C906" i="1"/>
  <c r="C905" i="1"/>
  <c r="C904" i="1"/>
  <c r="C903" i="1"/>
  <c r="C902" i="1"/>
  <c r="C901" i="1"/>
  <c r="C885" i="1"/>
  <c r="C884" i="1"/>
  <c r="C883" i="1"/>
  <c r="C882" i="1"/>
  <c r="C880" i="1"/>
  <c r="C878" i="1"/>
  <c r="C876" i="1"/>
  <c r="C860" i="1"/>
  <c r="C856" i="1"/>
  <c r="C834" i="1"/>
  <c r="C833" i="1"/>
  <c r="C832" i="1"/>
  <c r="C831" i="1"/>
  <c r="C830" i="1"/>
  <c r="C828" i="1"/>
  <c r="C820" i="1"/>
  <c r="C819" i="1"/>
  <c r="C818" i="1"/>
  <c r="C816" i="1"/>
  <c r="C814" i="1"/>
  <c r="C812" i="1"/>
  <c r="C810" i="1"/>
  <c r="C808" i="1"/>
  <c r="C806" i="1"/>
  <c r="C804" i="1"/>
  <c r="C802" i="1"/>
  <c r="C800" i="1"/>
  <c r="C798" i="1"/>
  <c r="C796" i="1"/>
  <c r="C794" i="1"/>
  <c r="C792" i="1"/>
  <c r="C790" i="1"/>
  <c r="C788" i="1"/>
  <c r="C786" i="1"/>
  <c r="C784" i="1"/>
  <c r="C782" i="1"/>
  <c r="C780" i="1"/>
  <c r="C778" i="1"/>
  <c r="C776" i="1"/>
  <c r="C774" i="1"/>
  <c r="C772" i="1"/>
  <c r="C770" i="1"/>
  <c r="C768" i="1"/>
  <c r="C766" i="1"/>
  <c r="C764" i="1"/>
  <c r="C762" i="1"/>
  <c r="C760" i="1"/>
  <c r="C758" i="1"/>
  <c r="C756" i="1"/>
  <c r="C754" i="1"/>
  <c r="C752" i="1"/>
  <c r="C750" i="1"/>
  <c r="C748" i="1"/>
  <c r="C746" i="1"/>
  <c r="C744" i="1"/>
  <c r="C742" i="1"/>
  <c r="C740" i="1"/>
  <c r="C738" i="1"/>
  <c r="C736" i="1"/>
  <c r="C734" i="1"/>
  <c r="C732" i="1"/>
  <c r="C730" i="1"/>
  <c r="C728" i="1"/>
  <c r="C726" i="1"/>
  <c r="C724" i="1"/>
  <c r="C722" i="1"/>
  <c r="C720" i="1"/>
  <c r="C719" i="1"/>
  <c r="C717" i="1"/>
  <c r="C715" i="1"/>
  <c r="C713" i="1"/>
  <c r="C711" i="1"/>
  <c r="C706" i="1"/>
  <c r="C705" i="1"/>
  <c r="C702" i="1"/>
  <c r="C700" i="1"/>
  <c r="C697" i="1"/>
  <c r="C695" i="1"/>
  <c r="C693" i="1"/>
  <c r="C692" i="1"/>
  <c r="C691" i="1"/>
  <c r="C690" i="1"/>
  <c r="C689" i="1"/>
  <c r="C688" i="1"/>
  <c r="C687" i="1"/>
  <c r="C685" i="1"/>
  <c r="C684" i="1"/>
  <c r="C683" i="1"/>
  <c r="C682" i="1"/>
  <c r="C681" i="1"/>
  <c r="C680" i="1"/>
  <c r="C679" i="1"/>
  <c r="C678" i="1"/>
  <c r="C677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3" i="1"/>
  <c r="C622" i="1"/>
  <c r="C619" i="1"/>
  <c r="C617" i="1"/>
  <c r="C616" i="1"/>
  <c r="C615" i="1"/>
  <c r="C614" i="1"/>
  <c r="C612" i="1"/>
  <c r="C611" i="1"/>
  <c r="C610" i="1"/>
  <c r="C609" i="1"/>
  <c r="C608" i="1"/>
  <c r="C607" i="1"/>
  <c r="C606" i="1"/>
  <c r="C605" i="1"/>
  <c r="C603" i="1"/>
  <c r="C602" i="1"/>
  <c r="C597" i="1"/>
  <c r="C596" i="1"/>
  <c r="C594" i="1"/>
  <c r="C593" i="1"/>
  <c r="C591" i="1"/>
  <c r="C589" i="1"/>
  <c r="C587" i="1"/>
  <c r="C586" i="1"/>
  <c r="C585" i="1"/>
  <c r="C584" i="1"/>
  <c r="C583" i="1"/>
  <c r="C582" i="1"/>
  <c r="C581" i="1"/>
  <c r="C578" i="1"/>
  <c r="C577" i="1"/>
  <c r="C575" i="1"/>
  <c r="C574" i="1"/>
  <c r="C573" i="1"/>
  <c r="C572" i="1"/>
  <c r="C571" i="1"/>
  <c r="C570" i="1"/>
  <c r="C569" i="1"/>
  <c r="C566" i="1"/>
  <c r="C564" i="1"/>
  <c r="C563" i="1"/>
  <c r="C561" i="1"/>
  <c r="C560" i="1"/>
  <c r="C558" i="1"/>
  <c r="C557" i="1"/>
  <c r="C556" i="1"/>
  <c r="C554" i="1"/>
  <c r="C552" i="1"/>
  <c r="C550" i="1"/>
  <c r="C549" i="1"/>
  <c r="C548" i="1"/>
  <c r="C547" i="1"/>
  <c r="C545" i="1"/>
  <c r="C543" i="1"/>
  <c r="C541" i="1"/>
  <c r="C540" i="1"/>
  <c r="C539" i="1"/>
  <c r="C537" i="1"/>
  <c r="C536" i="1"/>
  <c r="C535" i="1"/>
  <c r="C534" i="1"/>
  <c r="C533" i="1"/>
  <c r="C532" i="1"/>
  <c r="C530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8" i="1"/>
  <c r="C486" i="1"/>
  <c r="C479" i="1"/>
  <c r="C477" i="1"/>
  <c r="C466" i="1"/>
  <c r="C464" i="1"/>
  <c r="C462" i="1"/>
  <c r="C461" i="1"/>
  <c r="C458" i="1"/>
  <c r="C456" i="1"/>
  <c r="C454" i="1"/>
  <c r="C453" i="1"/>
  <c r="C452" i="1"/>
  <c r="C450" i="1"/>
  <c r="C449" i="1"/>
  <c r="C448" i="1"/>
  <c r="C447" i="1"/>
  <c r="C446" i="1"/>
  <c r="C445" i="1"/>
  <c r="C444" i="1"/>
  <c r="C441" i="1"/>
  <c r="C440" i="1"/>
  <c r="C439" i="1"/>
  <c r="C438" i="1"/>
  <c r="C437" i="1"/>
  <c r="C436" i="1"/>
  <c r="C435" i="1"/>
  <c r="C434" i="1"/>
  <c r="C433" i="1"/>
  <c r="C431" i="1"/>
  <c r="C430" i="1"/>
  <c r="C428" i="1"/>
  <c r="C427" i="1"/>
  <c r="C425" i="1"/>
  <c r="C424" i="1"/>
  <c r="C423" i="1"/>
  <c r="C421" i="1"/>
  <c r="C419" i="1"/>
  <c r="C417" i="1"/>
  <c r="C416" i="1"/>
  <c r="C414" i="1"/>
  <c r="C413" i="1"/>
  <c r="C412" i="1"/>
  <c r="C411" i="1"/>
  <c r="C409" i="1"/>
  <c r="C408" i="1"/>
  <c r="C407" i="1"/>
  <c r="C405" i="1"/>
  <c r="C404" i="1"/>
  <c r="C403" i="1"/>
  <c r="C402" i="1"/>
  <c r="C400" i="1"/>
  <c r="C398" i="1"/>
  <c r="C396" i="1"/>
  <c r="C394" i="1"/>
  <c r="C393" i="1"/>
  <c r="C392" i="1"/>
  <c r="C390" i="1"/>
  <c r="C389" i="1"/>
  <c r="C387" i="1"/>
  <c r="C385" i="1"/>
  <c r="C383" i="1"/>
  <c r="C382" i="1"/>
  <c r="C378" i="1"/>
  <c r="C374" i="1"/>
  <c r="C373" i="1"/>
  <c r="C372" i="1"/>
  <c r="C370" i="1"/>
  <c r="C368" i="1"/>
  <c r="C360" i="1"/>
  <c r="C358" i="1"/>
  <c r="C357" i="1"/>
  <c r="C355" i="1"/>
  <c r="C350" i="1"/>
  <c r="C346" i="1"/>
  <c r="C345" i="1"/>
  <c r="C339" i="1"/>
  <c r="C338" i="1"/>
  <c r="C336" i="1"/>
  <c r="C334" i="1"/>
  <c r="C333" i="1"/>
  <c r="C331" i="1"/>
  <c r="C329" i="1"/>
  <c r="C323" i="1"/>
  <c r="C314" i="1"/>
  <c r="C313" i="1"/>
  <c r="C312" i="1"/>
  <c r="C310" i="1"/>
  <c r="C309" i="1"/>
  <c r="C308" i="1"/>
  <c r="C307" i="1"/>
  <c r="C302" i="1"/>
  <c r="C301" i="1"/>
  <c r="C298" i="1"/>
  <c r="C297" i="1"/>
  <c r="C295" i="1"/>
  <c r="C294" i="1"/>
  <c r="C293" i="1"/>
  <c r="C292" i="1"/>
  <c r="C291" i="1"/>
  <c r="C289" i="1"/>
  <c r="C287" i="1"/>
  <c r="C281" i="1"/>
  <c r="C279" i="1"/>
  <c r="C278" i="1"/>
  <c r="C277" i="1"/>
  <c r="C276" i="1"/>
  <c r="C275" i="1"/>
  <c r="C274" i="1"/>
  <c r="C272" i="1"/>
  <c r="C270" i="1"/>
  <c r="C269" i="1"/>
  <c r="C268" i="1"/>
  <c r="C266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7" i="1"/>
  <c r="C195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3" i="1"/>
  <c r="C61" i="1"/>
  <c r="C60" i="1"/>
  <c r="C59" i="1"/>
  <c r="C58" i="1"/>
  <c r="C57" i="1"/>
  <c r="C55" i="1"/>
  <c r="C53" i="1"/>
  <c r="C52" i="1"/>
  <c r="C51" i="1"/>
  <c r="C50" i="1"/>
  <c r="C49" i="1"/>
  <c r="C47" i="1"/>
  <c r="C45" i="1"/>
  <c r="C44" i="1"/>
  <c r="C43" i="1"/>
  <c r="C42" i="1"/>
  <c r="C41" i="1"/>
  <c r="C40" i="1"/>
  <c r="C39" i="1"/>
  <c r="C37" i="1"/>
  <c r="C35" i="1"/>
  <c r="C34" i="1"/>
  <c r="C33" i="1"/>
  <c r="C32" i="1"/>
  <c r="C31" i="1"/>
  <c r="C29" i="1"/>
  <c r="C27" i="1"/>
  <c r="C25" i="1"/>
  <c r="C24" i="1"/>
  <c r="C23" i="1"/>
  <c r="C22" i="1"/>
  <c r="C19" i="1"/>
  <c r="C17" i="1"/>
  <c r="C16" i="1"/>
  <c r="C14" i="1"/>
  <c r="C12" i="1"/>
  <c r="C7" i="1"/>
  <c r="C6" i="1"/>
  <c r="C3" i="1"/>
</calcChain>
</file>

<file path=xl/sharedStrings.xml><?xml version="1.0" encoding="utf-8"?>
<sst xmlns="http://schemas.openxmlformats.org/spreadsheetml/2006/main" count="6276" uniqueCount="1045">
  <si>
    <t>Name</t>
  </si>
  <si>
    <t>Type</t>
  </si>
  <si>
    <t>Value</t>
  </si>
  <si>
    <t>LCA</t>
  </si>
  <si>
    <t>ESM</t>
  </si>
  <si>
    <t>Assumptions &amp; Sources</t>
  </si>
  <si>
    <t>ACETIC_ACID</t>
  </si>
  <si>
    <t>ACETONE</t>
  </si>
  <si>
    <t>AFC</t>
  </si>
  <si>
    <t>ALKALINE_ELECTROLYSIS</t>
  </si>
  <si>
    <t>ALKALINE_ELECTROLYSIS_PLANT</t>
  </si>
  <si>
    <t>ALKALINE_ELECTROLYSIS_PLANT_DECOM</t>
  </si>
  <si>
    <t>ALKALINE_ELECTROLYSIS_STACK</t>
  </si>
  <si>
    <t>ALKALINE_ELECTROLYSIS_STACK_DECOM</t>
  </si>
  <si>
    <t>AL_MAKING</t>
  </si>
  <si>
    <t>AL_MAKING_HR</t>
  </si>
  <si>
    <t>AN_DIG</t>
  </si>
  <si>
    <t>AN_DIG_SI</t>
  </si>
  <si>
    <t>AN_DIG_SI_COGEN</t>
  </si>
  <si>
    <t>AN_DIG_SI_PLANT</t>
  </si>
  <si>
    <t>ATR</t>
  </si>
  <si>
    <t>ATR_CCS</t>
  </si>
  <si>
    <t>ATR_CCS_PLANT</t>
  </si>
  <si>
    <t>ATR_CCS_TANK</t>
  </si>
  <si>
    <t>ATR_PLANT</t>
  </si>
  <si>
    <t>ATR_TANK</t>
  </si>
  <si>
    <t>BATTERY</t>
  </si>
  <si>
    <t>BENZENE</t>
  </si>
  <si>
    <t>BIOGAS_ATR</t>
  </si>
  <si>
    <t>BIOGAS_ATR_CCS</t>
  </si>
  <si>
    <t>BIOGAS_ATR_CCS_PLANT</t>
  </si>
  <si>
    <t>BIOGAS_ATR_CCS_TANK</t>
  </si>
  <si>
    <t>BIOGAS_ATR_PLANT</t>
  </si>
  <si>
    <t>BIOGAS_ATR_TANK</t>
  </si>
  <si>
    <t>BIOGAS_BIOMETHANE</t>
  </si>
  <si>
    <t>BIOGAS_SMR</t>
  </si>
  <si>
    <t>BIOGAS_SMR_CCS</t>
  </si>
  <si>
    <t>BIOGAS_SMR_CCS_PLANT</t>
  </si>
  <si>
    <t>BIOGAS_SMR_CCS_TANK</t>
  </si>
  <si>
    <t>BIOGAS_SMR_PLANT</t>
  </si>
  <si>
    <t>BIOGAS_SMR_TANK</t>
  </si>
  <si>
    <t>BIOMASS_GAS_EF_H2</t>
  </si>
  <si>
    <t>BIOMASS_GAS_EF_H2_CCS</t>
  </si>
  <si>
    <t>BIOMASS_GAS_EF_H2_CCS_PLANT</t>
  </si>
  <si>
    <t>BIOMASS_GAS_EF_H2_CCS_TANK</t>
  </si>
  <si>
    <t>BIOMASS_GAS_EF_H2_PLANT</t>
  </si>
  <si>
    <t>BIOMASS_GAS_EF_H2_TANK</t>
  </si>
  <si>
    <t>BIOMASS_GAS_FB_H2</t>
  </si>
  <si>
    <t>BIOMASS_GAS_FB_H2_CCS</t>
  </si>
  <si>
    <t>BIOMASS_GAS_FB_H2_CCS_PLANT</t>
  </si>
  <si>
    <t>BIOMASS_GAS_FB_H2_CCS_TANK</t>
  </si>
  <si>
    <t>BIOMASS_GAS_FB_H2_PLANT</t>
  </si>
  <si>
    <t>BIOMASS_GAS_FB_H2_TANK</t>
  </si>
  <si>
    <t>BIO_DIESEL</t>
  </si>
  <si>
    <t>BUS_BIODIESEL_B100_SD</t>
  </si>
  <si>
    <t>BUS_BIODIESEL_B20_SD</t>
  </si>
  <si>
    <t>BUS_CNG_SD</t>
  </si>
  <si>
    <t>BUS_DIESEL_SD</t>
  </si>
  <si>
    <t>BUS_EV_SD</t>
  </si>
  <si>
    <t>BUS_FC_H2_SD</t>
  </si>
  <si>
    <t>BUS_GASOLINE_SD</t>
  </si>
  <si>
    <t>BUS_HY_DIESEL_SD</t>
  </si>
  <si>
    <t>BUS_PROPANE_SD</t>
  </si>
  <si>
    <t>CAR_BIODIESEL_B100_ELD</t>
  </si>
  <si>
    <t>CAR_BIODIESEL_B100_LD</t>
  </si>
  <si>
    <t>CAR_BIODIESEL_B100_MD</t>
  </si>
  <si>
    <t>CAR_BIODIESEL_B100_SD</t>
  </si>
  <si>
    <t>CAR_BIODIESEL_B20_ELD</t>
  </si>
  <si>
    <t>CAR_BIODIESEL_B20_LD</t>
  </si>
  <si>
    <t>CAR_BIODIESEL_B20_MD</t>
  </si>
  <si>
    <t>CAR_BIODIESEL_B20_SD</t>
  </si>
  <si>
    <t>CAR_CNG_ELD</t>
  </si>
  <si>
    <t>CAR_CNG_LD</t>
  </si>
  <si>
    <t>CAR_CNG_MD</t>
  </si>
  <si>
    <t>CAR_CNG_SD</t>
  </si>
  <si>
    <t>CAR_DIESEL_ELD</t>
  </si>
  <si>
    <t>CAR_DIESEL_LD</t>
  </si>
  <si>
    <t>CAR_DIESEL_MD</t>
  </si>
  <si>
    <t>CAR_DIESEL_SD</t>
  </si>
  <si>
    <t>CAR_ETOH_E10_ELD</t>
  </si>
  <si>
    <t>CAR_ETOH_E10_LD</t>
  </si>
  <si>
    <t>CAR_ETOH_E10_MD</t>
  </si>
  <si>
    <t>CAR_ETOH_E10_SD</t>
  </si>
  <si>
    <t>CAR_ETOH_E85_ELD</t>
  </si>
  <si>
    <t>CAR_ETOH_E85_LD</t>
  </si>
  <si>
    <t>CAR_ETOH_E85_MD</t>
  </si>
  <si>
    <t>CAR_ETOH_E85_SD</t>
  </si>
  <si>
    <t>CAR_EV_ELD</t>
  </si>
  <si>
    <t>CAR_EV_LD</t>
  </si>
  <si>
    <t>CAR_EV_MD</t>
  </si>
  <si>
    <t>CAR_EV_SD</t>
  </si>
  <si>
    <t>CAR_FC_H2_ELD</t>
  </si>
  <si>
    <t>CAR_FC_H2_LD</t>
  </si>
  <si>
    <t>CAR_FC_H2_MD</t>
  </si>
  <si>
    <t>CAR_FC_H2_SD</t>
  </si>
  <si>
    <t>CAR_GASOLINE_ELD</t>
  </si>
  <si>
    <t>CAR_GASOLINE_LD</t>
  </si>
  <si>
    <t>CAR_GASOLINE_MD</t>
  </si>
  <si>
    <t>CAR_GASOLINE_SD</t>
  </si>
  <si>
    <t>CAR_HEV_ELD</t>
  </si>
  <si>
    <t>CAR_HEV_LD</t>
  </si>
  <si>
    <t>CAR_HEV_MD</t>
  </si>
  <si>
    <t>CAR_HEV_SD</t>
  </si>
  <si>
    <t>CAR_MEOH_ELD</t>
  </si>
  <si>
    <t>CAR_MEOH_LD</t>
  </si>
  <si>
    <t>CAR_MEOH_MD</t>
  </si>
  <si>
    <t>CAR_MEOH_SD</t>
  </si>
  <si>
    <t>CAR_PHEV_ELD</t>
  </si>
  <si>
    <t>CAR_PHEV_LD</t>
  </si>
  <si>
    <t>CAR_PHEV_MD</t>
  </si>
  <si>
    <t>CAR_PHEV_SD</t>
  </si>
  <si>
    <t>CAR_PROPANE_ELD</t>
  </si>
  <si>
    <t>CAR_PROPANE_LD</t>
  </si>
  <si>
    <t>CAR_PROPANE_MD</t>
  </si>
  <si>
    <t>CAR_PROPANE_SD</t>
  </si>
  <si>
    <t>CCGT</t>
  </si>
  <si>
    <t>CCGT_CC</t>
  </si>
  <si>
    <t>CEMENT_PROD</t>
  </si>
  <si>
    <t>CEMENT_PROD_HP</t>
  </si>
  <si>
    <t>CO2_METHANOL</t>
  </si>
  <si>
    <t>CO2_STO</t>
  </si>
  <si>
    <t>CO2_TO_DIESEL</t>
  </si>
  <si>
    <t>CO2_TO_JETFUELS</t>
  </si>
  <si>
    <t>COACH_BIODIESEL_B100_ELD</t>
  </si>
  <si>
    <t>COACH_BIODIESEL_B100_LD</t>
  </si>
  <si>
    <t>COACH_BIODIESEL_B100_MD</t>
  </si>
  <si>
    <t>COACH_BIODIESEL_B20_ELD</t>
  </si>
  <si>
    <t>COACH_BIODIESEL_B20_LD</t>
  </si>
  <si>
    <t>COACH_BIODIESEL_B20_MD</t>
  </si>
  <si>
    <t>COACH_CNG_ELD</t>
  </si>
  <si>
    <t>COACH_CNG_LD</t>
  </si>
  <si>
    <t>COACH_CNG_MD</t>
  </si>
  <si>
    <t>COACH_DIESEL_ELD</t>
  </si>
  <si>
    <t>COACH_DIESEL_LD</t>
  </si>
  <si>
    <t>COACH_DIESEL_MD</t>
  </si>
  <si>
    <t>COACH_ETOH_E10_ELD</t>
  </si>
  <si>
    <t>COACH_ETOH_E10_LD</t>
  </si>
  <si>
    <t>COACH_ETOH_E10_MD</t>
  </si>
  <si>
    <t>COACH_EV_ELD</t>
  </si>
  <si>
    <t>COACH_EV_LD</t>
  </si>
  <si>
    <t>COACH_EV_MD</t>
  </si>
  <si>
    <t>COACH_GASOLINE_ELD</t>
  </si>
  <si>
    <t>COACH_GASOLINE_LD</t>
  </si>
  <si>
    <t>COACH_GASOLINE_MD</t>
  </si>
  <si>
    <t>COACH_HY_DIESEL_ELD</t>
  </si>
  <si>
    <t>COACH_HY_DIESEL_LD</t>
  </si>
  <si>
    <t>COACH_HY_DIESEL_MD</t>
  </si>
  <si>
    <t>COACH_PROPANE_ELD</t>
  </si>
  <si>
    <t>COACH_PROPANE_LD</t>
  </si>
  <si>
    <t>COACH_PROPANE_MD</t>
  </si>
  <si>
    <t>COAL</t>
  </si>
  <si>
    <t>COAL_GAS_H2</t>
  </si>
  <si>
    <t>COAL_GAS_H2_ADV</t>
  </si>
  <si>
    <t>COAL_GAS_H2_ADV_CCS</t>
  </si>
  <si>
    <t>COAL_GAS_H2_ADV_CCS_PLANT</t>
  </si>
  <si>
    <t>COAL_GAS_H2_ADV_CCS_TANK</t>
  </si>
  <si>
    <t>COAL_GAS_H2_ADV_PLANT</t>
  </si>
  <si>
    <t>COAL_GAS_H2_ADV_TANK</t>
  </si>
  <si>
    <t>COAL_GAS_H2_CCS</t>
  </si>
  <si>
    <t>COAL_GAS_H2_CCS_PLANT</t>
  </si>
  <si>
    <t>COAL_GAS_H2_CCS_TANK</t>
  </si>
  <si>
    <t>COAL_GAS_H2_PLANT</t>
  </si>
  <si>
    <t>COAL_GAS_H2_TANK</t>
  </si>
  <si>
    <t>COAL_IGCC</t>
  </si>
  <si>
    <t>COAL_IGCC_CC</t>
  </si>
  <si>
    <t>COAL_US</t>
  </si>
  <si>
    <t>COAL_US_CC</t>
  </si>
  <si>
    <t>COMMUTER_RAIL_DIESEL_MD</t>
  </si>
  <si>
    <t>COMMUTER_RAIL_ELEC_MD</t>
  </si>
  <si>
    <t>CROPS_TO_ETHANOL</t>
  </si>
  <si>
    <t>CROPS_TO_JETFUELS</t>
  </si>
  <si>
    <t>CUMENE_PROCESS</t>
  </si>
  <si>
    <t>DAC_HT</t>
  </si>
  <si>
    <t>DAC_HT_PLANT</t>
  </si>
  <si>
    <t>DAC_HT_PLANT_DECOM</t>
  </si>
  <si>
    <t>DAC_LT</t>
  </si>
  <si>
    <t>DAC_LT_PLANT</t>
  </si>
  <si>
    <t>DAC_LT_PLANT_DECOM</t>
  </si>
  <si>
    <t>DEC_ADVCOGEN_H2</t>
  </si>
  <si>
    <t>DEC_BOILER_GAS</t>
  </si>
  <si>
    <t>DEC_BOILER_OIL</t>
  </si>
  <si>
    <t>DEC_BOILER_OIL_BOILER</t>
  </si>
  <si>
    <t>DEC_BOILER_OIL_TANK</t>
  </si>
  <si>
    <t>DEC_BOILER_WOOD</t>
  </si>
  <si>
    <t>DEC_COGEN_GAS</t>
  </si>
  <si>
    <t>DEC_COGEN_GAS_CHP</t>
  </si>
  <si>
    <t>DEC_COGEN_GAS_ELEC</t>
  </si>
  <si>
    <t>DEC_COGEN_GAS_HEAT</t>
  </si>
  <si>
    <t>DEC_COGEN_OIL</t>
  </si>
  <si>
    <t>DEC_COGEN_OIL_BOILER</t>
  </si>
  <si>
    <t>DEC_COGEN_OIL_TANK</t>
  </si>
  <si>
    <t>DEC_COGEN_OIL_TURBINE</t>
  </si>
  <si>
    <t>DEC_COGEN_WOOD</t>
  </si>
  <si>
    <t>DEC_COGEN_WOOD_BOILER</t>
  </si>
  <si>
    <t>DEC_COGEN_WOOD_TURBINE</t>
  </si>
  <si>
    <t>DEC_DIRECT_ELEC</t>
  </si>
  <si>
    <t>DEC_HP_ELEC</t>
  </si>
  <si>
    <t>DEC_SOLAR</t>
  </si>
  <si>
    <t>DEC_THHP_GAS</t>
  </si>
  <si>
    <t>DEC_THHP_GAS_HEX</t>
  </si>
  <si>
    <t>DEC_THHP_GAS_HP</t>
  </si>
  <si>
    <t>DEC_TH_STORAGE</t>
  </si>
  <si>
    <t>DEEP_SALINE</t>
  </si>
  <si>
    <t>DHN_BOILER_GAS</t>
  </si>
  <si>
    <t>DHN_BOILER_OIL</t>
  </si>
  <si>
    <t>DHN_BOILER_OIL_BOILER</t>
  </si>
  <si>
    <t>DHN_BOILER_OIL_TANK</t>
  </si>
  <si>
    <t>DHN_BOILER_WOOD</t>
  </si>
  <si>
    <t>DHN_BOILER_WOOD_BOILER</t>
  </si>
  <si>
    <t>DHN_BOILER_WOOD_DUST</t>
  </si>
  <si>
    <t>DHN_COGEN_GAS</t>
  </si>
  <si>
    <t>DHN_COGEN_GAS_CHP</t>
  </si>
  <si>
    <t>DHN_COGEN_GAS_ELEC</t>
  </si>
  <si>
    <t>DHN_COGEN_GAS_HEAT</t>
  </si>
  <si>
    <t>DHN_COGEN_WASTE</t>
  </si>
  <si>
    <t>DHN_COGEN_WASTE_BOILER</t>
  </si>
  <si>
    <t>DHN_COGEN_WASTE_CC</t>
  </si>
  <si>
    <t>DHN_COGEN_WASTE_CC_BOILER</t>
  </si>
  <si>
    <t>DHN_COGEN_WASTE_CC_TURBINE</t>
  </si>
  <si>
    <t>DHN_COGEN_WASTE_TURBINE</t>
  </si>
  <si>
    <t>DHN_COGEN_WOOD</t>
  </si>
  <si>
    <t>DHN_COGEN_WOOD_BOILER</t>
  </si>
  <si>
    <t>DHN_COGEN_WOOD_DUST</t>
  </si>
  <si>
    <t>DHN_COGEN_WOOD_TURBINE</t>
  </si>
  <si>
    <t>DHN_DEEP_GEO</t>
  </si>
  <si>
    <t>DHN_HP_ELEC</t>
  </si>
  <si>
    <t>DHN_TH_STORAGE</t>
  </si>
  <si>
    <t>DIESEL</t>
  </si>
  <si>
    <t>DIE_STO</t>
  </si>
  <si>
    <t>DIRECT_USAGE</t>
  </si>
  <si>
    <t>DOGR</t>
  </si>
  <si>
    <t>EHV_GRID</t>
  </si>
  <si>
    <t>ELECTRICITY_EHV</t>
  </si>
  <si>
    <t>ELEC_EXPORT</t>
  </si>
  <si>
    <t>ELEC_STO</t>
  </si>
  <si>
    <t>EOR</t>
  </si>
  <si>
    <t>ETHANE</t>
  </si>
  <si>
    <t>ETHANE_CRACKING</t>
  </si>
  <si>
    <t>ETHANE_OXIDATION</t>
  </si>
  <si>
    <t>ETHANE_TO_ETHYLENE</t>
  </si>
  <si>
    <t>ETHANOL</t>
  </si>
  <si>
    <t>ETHANOL_TO_JETFUELS</t>
  </si>
  <si>
    <t>ETHYLBENZENE</t>
  </si>
  <si>
    <t>ETHYLENE</t>
  </si>
  <si>
    <t>ETHYLENE_POLYMERIZATION</t>
  </si>
  <si>
    <t>FOOD_PROD</t>
  </si>
  <si>
    <t>FOOD_PROD_HP</t>
  </si>
  <si>
    <t>FOOD_PROD_HR</t>
  </si>
  <si>
    <t>FT</t>
  </si>
  <si>
    <t>GASIFICATION_H2</t>
  </si>
  <si>
    <t>GASIFICATION_H2_PLANT</t>
  </si>
  <si>
    <t>GASIFICATION_H2_TANK</t>
  </si>
  <si>
    <t>GASIFICATION_SNG</t>
  </si>
  <si>
    <t>GASIFICATION_SNG_PLANT</t>
  </si>
  <si>
    <t>GASIFICATION_SNG_TANK</t>
  </si>
  <si>
    <t>GASOLINE</t>
  </si>
  <si>
    <t>GASO_STO</t>
  </si>
  <si>
    <t>GEOTHERMAL</t>
  </si>
  <si>
    <t>H2_CCGT</t>
  </si>
  <si>
    <t>H2_COMP_HE</t>
  </si>
  <si>
    <t>H2_COMP_LM</t>
  </si>
  <si>
    <t>H2_COMP_MH</t>
  </si>
  <si>
    <t>H2_EHP</t>
  </si>
  <si>
    <t>H2_EXP_EH</t>
  </si>
  <si>
    <t>H2_EXP_EH_COGEN</t>
  </si>
  <si>
    <t>H2_EXP_HM</t>
  </si>
  <si>
    <t>H2_EXP_HM_COGEN</t>
  </si>
  <si>
    <t>H2_EXP_ML</t>
  </si>
  <si>
    <t>H2_EXP_ML_COGEN</t>
  </si>
  <si>
    <t>H2_HP</t>
  </si>
  <si>
    <t>H2_LP</t>
  </si>
  <si>
    <t>H2_MP</t>
  </si>
  <si>
    <t>H2_NG_CCGT</t>
  </si>
  <si>
    <t>H2_NG_CCGT_CCS</t>
  </si>
  <si>
    <t>H2_STO</t>
  </si>
  <si>
    <t>HT_LT_DEC</t>
  </si>
  <si>
    <t>HV_GRID</t>
  </si>
  <si>
    <t>HYDRO_DAM</t>
  </si>
  <si>
    <t>HYDRO_GAS</t>
  </si>
  <si>
    <t>HYDRO_GAS_CHP</t>
  </si>
  <si>
    <t>HYDRO_GAS_CHP_PLANT</t>
  </si>
  <si>
    <t>HYDRO_GAS_CHP_TURBINE</t>
  </si>
  <si>
    <t>HYDRO_RIVER</t>
  </si>
  <si>
    <t>IND_BOILER_COAL</t>
  </si>
  <si>
    <t>IND_BOILER_GAS</t>
  </si>
  <si>
    <t>IND_BOILER_OIL</t>
  </si>
  <si>
    <t>IND_BOILER_OIL_PLANT</t>
  </si>
  <si>
    <t>IND_BOILER_OIL_TANK</t>
  </si>
  <si>
    <t>IND_BOILER_WASTE</t>
  </si>
  <si>
    <t>IND_BOILER_WASTE_CC</t>
  </si>
  <si>
    <t>IND_BOILER_WOOD</t>
  </si>
  <si>
    <t>IND_COGEN_GAS</t>
  </si>
  <si>
    <t>IND_COGEN_GAS_CHP</t>
  </si>
  <si>
    <t>IND_COGEN_GAS_ELEC</t>
  </si>
  <si>
    <t>IND_COGEN_GAS_HEAT</t>
  </si>
  <si>
    <t>IND_COGEN_WASTE</t>
  </si>
  <si>
    <t>IND_COGEN_WASTE_CC</t>
  </si>
  <si>
    <t>IND_COGEN_WASTE_CC_PLANT</t>
  </si>
  <si>
    <t>IND_COGEN_WASTE_CC_TURBINE</t>
  </si>
  <si>
    <t>IND_COGEN_WASTE_PLANT</t>
  </si>
  <si>
    <t>IND_COGEN_WASTE_TURBINE</t>
  </si>
  <si>
    <t>IND_COGEN_WOOD</t>
  </si>
  <si>
    <t>IND_COGEN_WOOD_DUST</t>
  </si>
  <si>
    <t>IND_COGEN_WOOD_PLANT</t>
  </si>
  <si>
    <t>IND_COGEN_WOOD_TURBINE</t>
  </si>
  <si>
    <t>IND_DIRECT_ELEC</t>
  </si>
  <si>
    <t>IND_HP_ELEC</t>
  </si>
  <si>
    <t>JETFUEL</t>
  </si>
  <si>
    <t>LCV_BIODIESEL_B100_MD</t>
  </si>
  <si>
    <t>LCV_BIODIESEL_B100_SD</t>
  </si>
  <si>
    <t>LCV_BIODIESEL_B20_MD</t>
  </si>
  <si>
    <t>LCV_BIODIESEL_B20_SD</t>
  </si>
  <si>
    <t>LCV_CNG_MD</t>
  </si>
  <si>
    <t>LCV_CNG_SD</t>
  </si>
  <si>
    <t>LCV_DIESEL_MD</t>
  </si>
  <si>
    <t>LCV_DIESEL_SD</t>
  </si>
  <si>
    <t>LCV_EV_MD</t>
  </si>
  <si>
    <t>LCV_EV_SD</t>
  </si>
  <si>
    <t>LCV_FC_H2_MD</t>
  </si>
  <si>
    <t>LCV_FC_H2_SD</t>
  </si>
  <si>
    <t>LCV_GASOLINE_MD</t>
  </si>
  <si>
    <t>LCV_GASOLINE_SD</t>
  </si>
  <si>
    <t>LCV_PHEV_DIESEL_MD</t>
  </si>
  <si>
    <t>LCV_PHEV_DIESEL_SD</t>
  </si>
  <si>
    <t>LCV_PROPANE_MD</t>
  </si>
  <si>
    <t>LCV_PROPANE_SD</t>
  </si>
  <si>
    <t>LFO</t>
  </si>
  <si>
    <t>LNG</t>
  </si>
  <si>
    <t>LV_GRID</t>
  </si>
  <si>
    <t>METATHESIS_PROPYLENE</t>
  </si>
  <si>
    <t>METHANATION</t>
  </si>
  <si>
    <t>METHANE_TO_METHANOL</t>
  </si>
  <si>
    <t>METHANOL</t>
  </si>
  <si>
    <t>METHANOL_CARBONYLATION</t>
  </si>
  <si>
    <t>METHANOL_FT</t>
  </si>
  <si>
    <t>METHANOL_TO_AROMATICS</t>
  </si>
  <si>
    <t>METHANOL_TO_OLEFINS</t>
  </si>
  <si>
    <t>MINES_STORAGE</t>
  </si>
  <si>
    <t>MV_GRID</t>
  </si>
  <si>
    <t>NEW_HYDRO_DAM</t>
  </si>
  <si>
    <t>NEW_HYDRO_RIVER</t>
  </si>
  <si>
    <t>NG_COMP_HE</t>
  </si>
  <si>
    <t>NG_COMP_LM</t>
  </si>
  <si>
    <t>NG_COMP_MH</t>
  </si>
  <si>
    <t>NG_EHP</t>
  </si>
  <si>
    <t>NG_EXP_EH</t>
  </si>
  <si>
    <t>NG_EXP_EH_COGEN</t>
  </si>
  <si>
    <t>NG_EXP_HM</t>
  </si>
  <si>
    <t>NG_EXP_HM_COGEN</t>
  </si>
  <si>
    <t>NG_EXP_ML</t>
  </si>
  <si>
    <t>NG_EXP_ML_COGEN</t>
  </si>
  <si>
    <t>NG_HP</t>
  </si>
  <si>
    <t>NG_LP</t>
  </si>
  <si>
    <t>NG_MP</t>
  </si>
  <si>
    <t>NG_PYROLYSIS_PLASMA</t>
  </si>
  <si>
    <t>NG_PYROLYSIS_THERMAL</t>
  </si>
  <si>
    <t>NG_REFORMING</t>
  </si>
  <si>
    <t>NG_REFORMING_PLANT</t>
  </si>
  <si>
    <t>NG_REFORMING_TANK</t>
  </si>
  <si>
    <t>NG_STO</t>
  </si>
  <si>
    <t>NUCLEAR</t>
  </si>
  <si>
    <t>OCGT_LARGE</t>
  </si>
  <si>
    <t>OCGT_SMALL</t>
  </si>
  <si>
    <t>PAFC</t>
  </si>
  <si>
    <t>PAPER_MAKING</t>
  </si>
  <si>
    <t>PAPER_MAKING_HP</t>
  </si>
  <si>
    <t>PAPER_MAKING_HR</t>
  </si>
  <si>
    <t>PE</t>
  </si>
  <si>
    <t>PEMFC</t>
  </si>
  <si>
    <t>PEM_ELECTROLYSIS</t>
  </si>
  <si>
    <t>PEM_ELECTROLYSIS_PLANT</t>
  </si>
  <si>
    <t>PEM_ELECTROLYSIS_PLANT_DECOM</t>
  </si>
  <si>
    <t>PEM_ELECTROLYSIS_STACK</t>
  </si>
  <si>
    <t>PEM_ELECTROLYSIS_STACK_DECOM</t>
  </si>
  <si>
    <t>PET</t>
  </si>
  <si>
    <t>PET_FORMATION</t>
  </si>
  <si>
    <t>PHENOL</t>
  </si>
  <si>
    <t>PLANE_FREIGHT_ELD</t>
  </si>
  <si>
    <t>PLANE_LH_ELD</t>
  </si>
  <si>
    <t>PLANE_SH_LD</t>
  </si>
  <si>
    <t>POLYPROPYLENE_PP</t>
  </si>
  <si>
    <t>PP</t>
  </si>
  <si>
    <t>PROPANE</t>
  </si>
  <si>
    <t>PROPYLENE</t>
  </si>
  <si>
    <t>PS</t>
  </si>
  <si>
    <t>PVC</t>
  </si>
  <si>
    <t>PVC_FORMATION</t>
  </si>
  <si>
    <t>PYROLYSIS</t>
  </si>
  <si>
    <t>SCHOOLBUS_BIODIESEL_B100_SD</t>
  </si>
  <si>
    <t>SCHOOLBUS_BIODIESEL_B20_SD</t>
  </si>
  <si>
    <t>SCHOOLBUS_CNG_SD</t>
  </si>
  <si>
    <t>SCHOOLBUS_DIESEL_SD</t>
  </si>
  <si>
    <t>SCHOOLBUS_ETOH_E10_SD</t>
  </si>
  <si>
    <t>SCHOOLBUS_EV_SD</t>
  </si>
  <si>
    <t>SCHOOLBUS_GASOLINE_SD</t>
  </si>
  <si>
    <t>SCHOOLBUS_HY_DIESEL_SD</t>
  </si>
  <si>
    <t>SCHOOLBUS_PROPANE_SD</t>
  </si>
  <si>
    <t>SEMI_LH_BIODIESEL_B100_ELD</t>
  </si>
  <si>
    <t>SEMI_LH_BIODIESEL_B100_LD</t>
  </si>
  <si>
    <t>SEMI_LH_BIODIESEL_B20_ELD</t>
  </si>
  <si>
    <t>SEMI_LH_BIODIESEL_B20_LD</t>
  </si>
  <si>
    <t>SEMI_LH_CNG_ELD</t>
  </si>
  <si>
    <t>SEMI_LH_CNG_LD</t>
  </si>
  <si>
    <t>SEMI_LH_DIESEL_ELD</t>
  </si>
  <si>
    <t>SEMI_LH_DIESEL_LD</t>
  </si>
  <si>
    <t>SEMI_LH_EV_ELD</t>
  </si>
  <si>
    <t>SEMI_LH_EV_LD</t>
  </si>
  <si>
    <t>SEMI_LH_FC_H2_ELD</t>
  </si>
  <si>
    <t>SEMI_LH_FC_H2_LD</t>
  </si>
  <si>
    <t>SEMI_LH_HY_DIESEL_ELD</t>
  </si>
  <si>
    <t>SEMI_LH_HY_DIESEL_LD</t>
  </si>
  <si>
    <t>SEMI_LH_PROPANE_ELD</t>
  </si>
  <si>
    <t>SEMI_LH_PROPANE_LD</t>
  </si>
  <si>
    <t>SEMI_SH_BIODIESEL_B100_MD</t>
  </si>
  <si>
    <t>SEMI_SH_BIODIESEL_B20_MD</t>
  </si>
  <si>
    <t>SEMI_SH_CNG_MD</t>
  </si>
  <si>
    <t>SEMI_SH_DIESEL_MD</t>
  </si>
  <si>
    <t>SEMI_SH_EV_MD</t>
  </si>
  <si>
    <t>SEMI_SH_FC_H2_MD</t>
  </si>
  <si>
    <t>SEMI_SH_HY_DIESEL_MD</t>
  </si>
  <si>
    <t>SEMI_SH_PROPANE_MD</t>
  </si>
  <si>
    <t>SMART_PROCESS</t>
  </si>
  <si>
    <t>SMR</t>
  </si>
  <si>
    <t>SMR_CCS</t>
  </si>
  <si>
    <t>SMR_CCS_PLANT</t>
  </si>
  <si>
    <t>SMR_CCS_TANK</t>
  </si>
  <si>
    <t>SMR_PLANT</t>
  </si>
  <si>
    <t>SMR_TANK</t>
  </si>
  <si>
    <t>SNG_EHP</t>
  </si>
  <si>
    <t>SNG_NG</t>
  </si>
  <si>
    <t>SOEC_ELECTROLYSIS</t>
  </si>
  <si>
    <t>SOEC_ELECTROLYSIS_PLANT</t>
  </si>
  <si>
    <t>SOEC_ELECTROLYSIS_PLANT_DECOM</t>
  </si>
  <si>
    <t>SOEC_ELECTROLYSIS_STACK</t>
  </si>
  <si>
    <t>SOEC_ELECTROLYSIS_STACK_DECOM</t>
  </si>
  <si>
    <t>SOFC</t>
  </si>
  <si>
    <t>STEEL_MAKING</t>
  </si>
  <si>
    <t>STEEL_MAKING_HP</t>
  </si>
  <si>
    <t>STEEL_MAKING_HR</t>
  </si>
  <si>
    <t>STYRENE</t>
  </si>
  <si>
    <t>STYRENE_POLYMERIZATION</t>
  </si>
  <si>
    <t>SUV_BIODIESEL_B100_ELD</t>
  </si>
  <si>
    <t>SUV_BIODIESEL_B100_LD</t>
  </si>
  <si>
    <t>SUV_BIODIESEL_B100_MD</t>
  </si>
  <si>
    <t>SUV_BIODIESEL_B100_SD</t>
  </si>
  <si>
    <t>SUV_BIODIESEL_B20_ELD</t>
  </si>
  <si>
    <t>SUV_BIODIESEL_B20_LD</t>
  </si>
  <si>
    <t>SUV_BIODIESEL_B20_MD</t>
  </si>
  <si>
    <t>SUV_BIODIESEL_B20_SD</t>
  </si>
  <si>
    <t>SUV_CNG_ELD</t>
  </si>
  <si>
    <t>SUV_CNG_LD</t>
  </si>
  <si>
    <t>SUV_CNG_MD</t>
  </si>
  <si>
    <t>SUV_CNG_SD</t>
  </si>
  <si>
    <t>SUV_DIESEL_ELD</t>
  </si>
  <si>
    <t>SUV_DIESEL_LD</t>
  </si>
  <si>
    <t>SUV_DIESEL_MD</t>
  </si>
  <si>
    <t>SUV_DIESEL_SD</t>
  </si>
  <si>
    <t>SUV_ETOH_E10_ELD</t>
  </si>
  <si>
    <t>SUV_ETOH_E10_LD</t>
  </si>
  <si>
    <t>SUV_ETOH_E10_MD</t>
  </si>
  <si>
    <t>SUV_ETOH_E10_SD</t>
  </si>
  <si>
    <t>SUV_ETOH_E85_ELD</t>
  </si>
  <si>
    <t>SUV_ETOH_E85_LD</t>
  </si>
  <si>
    <t>SUV_ETOH_E85_MD</t>
  </si>
  <si>
    <t>SUV_ETOH_E85_SD</t>
  </si>
  <si>
    <t>SUV_EV_ELD</t>
  </si>
  <si>
    <t>SUV_EV_LD</t>
  </si>
  <si>
    <t>SUV_EV_MD</t>
  </si>
  <si>
    <t>SUV_EV_SD</t>
  </si>
  <si>
    <t>SUV_FC_H2_ELD</t>
  </si>
  <si>
    <t>SUV_FC_H2_LD</t>
  </si>
  <si>
    <t>SUV_FC_H2_MD</t>
  </si>
  <si>
    <t>SUV_FC_H2_SD</t>
  </si>
  <si>
    <t>SUV_GASOLINE_ELD</t>
  </si>
  <si>
    <t>SUV_GASOLINE_LD</t>
  </si>
  <si>
    <t>SUV_GASOLINE_MD</t>
  </si>
  <si>
    <t>SUV_GASOLINE_SD</t>
  </si>
  <si>
    <t>SUV_HY_GASOLINE_ELD</t>
  </si>
  <si>
    <t>SUV_HY_GASOLINE_LD</t>
  </si>
  <si>
    <t>SUV_HY_GASOLINE_MD</t>
  </si>
  <si>
    <t>SUV_HY_GASOLINE_SD</t>
  </si>
  <si>
    <t>SUV_PHEV_GASOLINE_ELD</t>
  </si>
  <si>
    <t>SUV_PHEV_GASOLINE_LD</t>
  </si>
  <si>
    <t>SUV_PHEV_GASOLINE_MD</t>
  </si>
  <si>
    <t>SUV_PHEV_GASOLINE_SD</t>
  </si>
  <si>
    <t>SUV_PROPANE_ELD</t>
  </si>
  <si>
    <t>SUV_PROPANE_LD</t>
  </si>
  <si>
    <t>SUV_PROPANE_MD</t>
  </si>
  <si>
    <t>SUV_PROPANE_SD</t>
  </si>
  <si>
    <t>TIDAL</t>
  </si>
  <si>
    <t>TOLUENE</t>
  </si>
  <si>
    <t>TRAFO_EH</t>
  </si>
  <si>
    <t>TRAFO_HE</t>
  </si>
  <si>
    <t>TRAFO_HM</t>
  </si>
  <si>
    <t>TRAFO_LM</t>
  </si>
  <si>
    <t>TRAFO_MH</t>
  </si>
  <si>
    <t>TRAFO_ML</t>
  </si>
  <si>
    <t>TRAIN_DIESEL_ELD</t>
  </si>
  <si>
    <t>TRAIN_DIESEL_LD</t>
  </si>
  <si>
    <t>TRAIN_ELEC_ELD</t>
  </si>
  <si>
    <t>TRAIN_ELEC_LD</t>
  </si>
  <si>
    <t>TRAIN_FREIGHT_DIESEL_ELD</t>
  </si>
  <si>
    <t>TRAIN_FREIGHT_DIESEL_ELD_LOC</t>
  </si>
  <si>
    <t>TRAIN_FREIGHT_DIESEL_ELD_WAG</t>
  </si>
  <si>
    <t>TRAIN_FREIGHT_DIESEL_LD</t>
  </si>
  <si>
    <t>TRAIN_FREIGHT_DIESEL_LD_LOC</t>
  </si>
  <si>
    <t>TRAIN_FREIGHT_DIESEL_LD_WAG</t>
  </si>
  <si>
    <t>TRAIN_FREIGHT_ELEC_ELD</t>
  </si>
  <si>
    <t>TRAIN_FREIGHT_ELEC_ELD_LOC</t>
  </si>
  <si>
    <t>TRAIN_FREIGHT_ELEC_ELD_WAG</t>
  </si>
  <si>
    <t>TRAIN_FREIGHT_ELEC_LD</t>
  </si>
  <si>
    <t>TRAIN_FREIGHT_ELEC_LD_LOC</t>
  </si>
  <si>
    <t>TRAIN_FREIGHT_ELEC_LD_WAG</t>
  </si>
  <si>
    <t>TRAIN_FREIGHT_H2_ELD</t>
  </si>
  <si>
    <t>TRAIN_FREIGHT_H2_ELD_LOC</t>
  </si>
  <si>
    <t>TRAIN_FREIGHT_H2_ELD_WAG</t>
  </si>
  <si>
    <t>TRAIN_FREIGHT_H2_HYBRID_ELD</t>
  </si>
  <si>
    <t>TRAIN_FREIGHT_H2_HYBRID_ELD_LOC</t>
  </si>
  <si>
    <t>TRAIN_FREIGHT_H2_HYBRID_ELD_WAG</t>
  </si>
  <si>
    <t>TRAIN_FREIGHT_H2_HYBRID_LD</t>
  </si>
  <si>
    <t>TRAIN_FREIGHT_H2_HYBRID_LD_LOC</t>
  </si>
  <si>
    <t>TRAIN_FREIGHT_H2_HYBRID_LD_WAG</t>
  </si>
  <si>
    <t>TRAIN_FREIGHT_H2_LD</t>
  </si>
  <si>
    <t>TRAIN_FREIGHT_H2_LD_LOC</t>
  </si>
  <si>
    <t>TRAIN_FREIGHT_H2_LD_WAG</t>
  </si>
  <si>
    <t>TRAIN_FREIGHT_NG_ELD</t>
  </si>
  <si>
    <t>TRAIN_FREIGHT_NG_ELD_LOC</t>
  </si>
  <si>
    <t>TRAIN_FREIGHT_NG_ELD_WAG</t>
  </si>
  <si>
    <t>TRAIN_FREIGHT_NG_LD</t>
  </si>
  <si>
    <t>TRAIN_FREIGHT_NG_LD_LOC</t>
  </si>
  <si>
    <t>TRAIN_FREIGHT_NG_LD_WAG</t>
  </si>
  <si>
    <t>TRAIN_H2_ELD</t>
  </si>
  <si>
    <t>TRAIN_H2_LD</t>
  </si>
  <si>
    <t>TRAIN_NG_ELD</t>
  </si>
  <si>
    <t>TRAIN_NG_LD</t>
  </si>
  <si>
    <t>TRAMWAY_SD</t>
  </si>
  <si>
    <t>TRUCK_LH_BIODIESEL_B100_LD</t>
  </si>
  <si>
    <t>TRUCK_LH_BIODIESEL_B20_LD</t>
  </si>
  <si>
    <t>TRUCK_LH_CNG_LD</t>
  </si>
  <si>
    <t>TRUCK_LH_DIESEL_LD</t>
  </si>
  <si>
    <t>TRUCK_LH_EV_LD</t>
  </si>
  <si>
    <t>TRUCK_LH_GASOLINE_LD</t>
  </si>
  <si>
    <t>TRUCK_LH_HY_DIESEL_LD</t>
  </si>
  <si>
    <t>TRUCK_LH_PROPANE_LD</t>
  </si>
  <si>
    <t>TRUCK_SH_BIODIESEL_B100_MD</t>
  </si>
  <si>
    <t>TRUCK_SH_BIODIESEL_B100_SD</t>
  </si>
  <si>
    <t>TRUCK_SH_BIODIESEL_B20_MD</t>
  </si>
  <si>
    <t>TRUCK_SH_BIODIESEL_B20_SD</t>
  </si>
  <si>
    <t>TRUCK_SH_CNG_MD</t>
  </si>
  <si>
    <t>TRUCK_SH_CNG_SD</t>
  </si>
  <si>
    <t>TRUCK_SH_DIESEL_MD</t>
  </si>
  <si>
    <t>TRUCK_SH_DIESEL_SD</t>
  </si>
  <si>
    <t>TRUCK_SH_EV_MD</t>
  </si>
  <si>
    <t>TRUCK_SH_EV_SD</t>
  </si>
  <si>
    <t>TRUCK_SH_GASOLINE_MD</t>
  </si>
  <si>
    <t>TRUCK_SH_GASOLINE_SD</t>
  </si>
  <si>
    <t>TRUCK_SH_HY_DIESEL_MD</t>
  </si>
  <si>
    <t>TRUCK_SH_HY_DIESEL_SD</t>
  </si>
  <si>
    <t>TRUCK_SH_PROPANE_MD</t>
  </si>
  <si>
    <t>TRUCK_SH_PROPANE_SD</t>
  </si>
  <si>
    <t>UNMINEABLE_COAL_SEAM</t>
  </si>
  <si>
    <t>URANIUM</t>
  </si>
  <si>
    <t>WASTE</t>
  </si>
  <si>
    <t>WASTE_BIO</t>
  </si>
  <si>
    <t>WASTE_FOS</t>
  </si>
  <si>
    <t>WET_BIOMASS</t>
  </si>
  <si>
    <t>WIND_OFFSHORE</t>
  </si>
  <si>
    <t>WIND_OFFSHORE_FIXED</t>
  </si>
  <si>
    <t>WIND_OFFSHORE_MOVING</t>
  </si>
  <si>
    <t>WIND_ONSHORE</t>
  </si>
  <si>
    <t>WIND_ONSHORE_CONNECTION</t>
  </si>
  <si>
    <t>WIND_ONSHORE_TURBINE</t>
  </si>
  <si>
    <t>WOOD</t>
  </si>
  <si>
    <t>WOOD_METHANOL</t>
  </si>
  <si>
    <t>XYLENE</t>
  </si>
  <si>
    <t>biogas</t>
  </si>
  <si>
    <t>biomass</t>
  </si>
  <si>
    <t>diesel</t>
  </si>
  <si>
    <t>electricity</t>
  </si>
  <si>
    <t>hard coal</t>
  </si>
  <si>
    <t>heat</t>
  </si>
  <si>
    <t>heavy fuel oil</t>
  </si>
  <si>
    <t>hydrogen</t>
  </si>
  <si>
    <t>kerosene</t>
  </si>
  <si>
    <t>light fuel oil</t>
  </si>
  <si>
    <t>lignite</t>
  </si>
  <si>
    <t>manure</t>
  </si>
  <si>
    <t>natural gas</t>
  </si>
  <si>
    <t>nuclear fuel element</t>
  </si>
  <si>
    <t>petrol</t>
  </si>
  <si>
    <t>syngas</t>
  </si>
  <si>
    <t>waste wood</t>
  </si>
  <si>
    <t>wood ash mixture</t>
  </si>
  <si>
    <t>wood chips</t>
  </si>
  <si>
    <t>BUS_CSNG_SD</t>
  </si>
  <si>
    <t>SCHOOLBUS_CSNG_SD</t>
  </si>
  <si>
    <t>CAR_CSNG_ELD</t>
  </si>
  <si>
    <t>CAR_CSNG_LD</t>
  </si>
  <si>
    <t>CAR_CSNG_MD</t>
  </si>
  <si>
    <t>CAR_CSNG_SD</t>
  </si>
  <si>
    <t>CAR_BIOETOH_E10_ELD</t>
  </si>
  <si>
    <t>CAR_BIOETOH_E10_LD</t>
  </si>
  <si>
    <t>CAR_BIOETOH_E10_MD</t>
  </si>
  <si>
    <t>CAR_BIOETOH_E10_SD</t>
  </si>
  <si>
    <t>CAR_BIOETOH_E85_ELD</t>
  </si>
  <si>
    <t>CAR_BIOETOH_E85_LD</t>
  </si>
  <si>
    <t>CAR_BIOETOH_E85_MD</t>
  </si>
  <si>
    <t>CAR_BIOETOH_E85_SD</t>
  </si>
  <si>
    <t>CAR_BIOMEOH_ELD</t>
  </si>
  <si>
    <t>CAR_BIOMEOH_LD</t>
  </si>
  <si>
    <t>CAR_BIOMEOH_MD</t>
  </si>
  <si>
    <t>CAR_BIOMEOH_SD</t>
  </si>
  <si>
    <t>CCGT_BIOGAS</t>
  </si>
  <si>
    <t>CCGT_BIOGAS_CC</t>
  </si>
  <si>
    <t>COACH_CSNG_ELD</t>
  </si>
  <si>
    <t>COACH_CSNG_LD</t>
  </si>
  <si>
    <t>COACH_CSNG_MD</t>
  </si>
  <si>
    <t>COACH_BIOETOH_E10_ELD</t>
  </si>
  <si>
    <t>COACH_BIOETOH_E10_LD</t>
  </si>
  <si>
    <t>COACH_BIOETOH_E10_MD</t>
  </si>
  <si>
    <t>DEC_BOILER_BIOGAS</t>
  </si>
  <si>
    <t>DEC_BOILER_BIOOIL</t>
  </si>
  <si>
    <t>DEC_BOILER_BIOOIL_BOILER</t>
  </si>
  <si>
    <t>DEC_BOILER_BIOOIL_TANK</t>
  </si>
  <si>
    <t>DEC_COGEN_BIOGAS</t>
  </si>
  <si>
    <t>DEC_COGEN_BIOGAS_CHP</t>
  </si>
  <si>
    <t>DEC_COGEN_BIOGAS_ELEC</t>
  </si>
  <si>
    <t>DEC_COGEN_BIOGAS_HEAT</t>
  </si>
  <si>
    <t>DEC_COGEN_BIOOIL</t>
  </si>
  <si>
    <t>DEC_COGEN_BIOOIL_BOILER</t>
  </si>
  <si>
    <t>DEC_COGEN_BIOOIL_TANK</t>
  </si>
  <si>
    <t>DEC_COGEN_BIOOIL_TURBINE</t>
  </si>
  <si>
    <t>DEC_THHP_BIOGAS</t>
  </si>
  <si>
    <t>DEC_THHP_BIOGAS_HEX</t>
  </si>
  <si>
    <t>DEC_THHP_BIOGAS_HP</t>
  </si>
  <si>
    <t>DHN_BOILER_BIOGAS</t>
  </si>
  <si>
    <t>DHN_BOILER_BIOOIL</t>
  </si>
  <si>
    <t>DHN_BOILER_BIOOIL_BOILER</t>
  </si>
  <si>
    <t>DHN_BOILER_BIOOIL_TANK</t>
  </si>
  <si>
    <t>DHN_COGEN_BIOGAS</t>
  </si>
  <si>
    <t>DHN_COGEN_BIOGAS_CHP</t>
  </si>
  <si>
    <t>DHN_COGEN_BIOGAS_ELEC</t>
  </si>
  <si>
    <t>DHN_COGEN_BIOGAS_HEAT</t>
  </si>
  <si>
    <t>BIOETHANOL_TO_BIOJETFUELS</t>
  </si>
  <si>
    <t>H2_SNG_CCGT</t>
  </si>
  <si>
    <t>H2_SNG_CCGT_CCS</t>
  </si>
  <si>
    <t>IND_BOILER_BIOGAS</t>
  </si>
  <si>
    <t>IND_BOILER_BIOOIL</t>
  </si>
  <si>
    <t>IND_BOILER_BIOOIL_PLANT</t>
  </si>
  <si>
    <t>IND_BOILER_BIOOIL_TANK</t>
  </si>
  <si>
    <t>IND_COGEN_BIOGAS</t>
  </si>
  <si>
    <t>IND_COGEN_BIOGAS_CHP</t>
  </si>
  <si>
    <t>IND_COGEN_BIOGAS_ELEC</t>
  </si>
  <si>
    <t>IND_COGEN_BIOGAS_HEAT</t>
  </si>
  <si>
    <t>LCV_CSNG_MD</t>
  </si>
  <si>
    <t>LCV_CSNG_SD</t>
  </si>
  <si>
    <t>BIOMETHANE_TO_BIOMETHANOL</t>
  </si>
  <si>
    <t>BIOMETHANOL_CARBONYLATION</t>
  </si>
  <si>
    <t>BIOMETHANOL_FT</t>
  </si>
  <si>
    <t>BIOMETHANOL_TO_AROMATICS</t>
  </si>
  <si>
    <t>BIOMETHANOL_TO_OLEFINS</t>
  </si>
  <si>
    <t>SNG_COMP_HE</t>
  </si>
  <si>
    <t>SNG_COMP_LM</t>
  </si>
  <si>
    <t>SNG_COMP_MH</t>
  </si>
  <si>
    <t>SNG_EXP_EH</t>
  </si>
  <si>
    <t>SNG_EXP_EH_COGEN</t>
  </si>
  <si>
    <t>SNG_EXP_HM</t>
  </si>
  <si>
    <t>SNG_EXP_HM_COGEN</t>
  </si>
  <si>
    <t>SNG_EXP_ML</t>
  </si>
  <si>
    <t>SNG_EXP_ML_COGEN</t>
  </si>
  <si>
    <t>SNG_PYROLYSIS_PLASMA</t>
  </si>
  <si>
    <t>SNG_PYROLYSIS_THERMAL</t>
  </si>
  <si>
    <t>SNG_REFORMING</t>
  </si>
  <si>
    <t>SNG_REFORMING_PLANT</t>
  </si>
  <si>
    <t>SNG_REFORMING_TANK</t>
  </si>
  <si>
    <t>SNG_STO</t>
  </si>
  <si>
    <t>OCGT_BIOGAS_LARGE</t>
  </si>
  <si>
    <t>OCGT_BIOGAS_SMALL</t>
  </si>
  <si>
    <t>PLANE_FREIGHT_BIO_ELD</t>
  </si>
  <si>
    <t>PLANE_LH_BIO_ELD</t>
  </si>
  <si>
    <t>PLANE_SH_BIO_LD</t>
  </si>
  <si>
    <t>SCHOOLBUS_BIOETOH_E10_SD</t>
  </si>
  <si>
    <t>SEMI_LH_CSNG_ELD</t>
  </si>
  <si>
    <t>SEMI_LH_CSNG_LD</t>
  </si>
  <si>
    <t>SEMI_SH_CSNG_MD</t>
  </si>
  <si>
    <t>SUV_CSNG_ELD</t>
  </si>
  <si>
    <t>SUV_CSNG_LD</t>
  </si>
  <si>
    <t>SUV_CSNG_MD</t>
  </si>
  <si>
    <t>SUV_CSNG_SD</t>
  </si>
  <si>
    <t>SUV_BIOETOH_E10_ELD</t>
  </si>
  <si>
    <t>SUV_BIOETOH_E10_LD</t>
  </si>
  <si>
    <t>SUV_BIOETOH_E10_MD</t>
  </si>
  <si>
    <t>SUV_BIOETOH_E10_SD</t>
  </si>
  <si>
    <t>SUV_BIOETOH_E85_ELD</t>
  </si>
  <si>
    <t>SUV_BIOETOH_E85_LD</t>
  </si>
  <si>
    <t>SUV_BIOETOH_E85_MD</t>
  </si>
  <si>
    <t>SUV_BIOETOH_E85_SD</t>
  </si>
  <si>
    <t>TRAIN_BIODIESEL_ELD</t>
  </si>
  <si>
    <t>TRAIN_BIODIESEL_LD</t>
  </si>
  <si>
    <t>TRAIN_FREIGHT_BIODIESEL_ELD</t>
  </si>
  <si>
    <t>TRAIN_FREIGHT_BIODIESEL_ELD_LOC</t>
  </si>
  <si>
    <t>TRAIN_FREIGHT_BIODIESEL_ELD_WAG</t>
  </si>
  <si>
    <t>TRAIN_FREIGHT_BIODIESEL_LD</t>
  </si>
  <si>
    <t>TRAIN_FREIGHT_BIODIESEL_LD_LOC</t>
  </si>
  <si>
    <t>TRAIN_FREIGHT_BIODIESEL_LD_WAG</t>
  </si>
  <si>
    <t>TRAIN_FREIGHT_SNG_ELD</t>
  </si>
  <si>
    <t>TRAIN_FREIGHT_SNG_ELD_LOC</t>
  </si>
  <si>
    <t>TRAIN_FREIGHT_SNG_ELD_WAG</t>
  </si>
  <si>
    <t>TRAIN_FREIGHT_SNG_LD</t>
  </si>
  <si>
    <t>TRAIN_FREIGHT_SNG_LD_LOC</t>
  </si>
  <si>
    <t>TRAIN_FREIGHT_SNG_LD_WAG</t>
  </si>
  <si>
    <t>TRAIN_SNG_ELD</t>
  </si>
  <si>
    <t>TRAIN_SNG_LD</t>
  </si>
  <si>
    <t>TRUCK_LH_CSNG_LD</t>
  </si>
  <si>
    <t>TRUCK_SH_CSNG_MD</t>
  </si>
  <si>
    <t>TRUCK_SH_CSNG_SD</t>
  </si>
  <si>
    <t>BIO_ETHANOL</t>
  </si>
  <si>
    <t>Resource</t>
  </si>
  <si>
    <t>Construction</t>
  </si>
  <si>
    <t>Operation</t>
  </si>
  <si>
    <t>Other</t>
  </si>
  <si>
    <t>kilogram</t>
  </si>
  <si>
    <t>unit</t>
  </si>
  <si>
    <t>kilowatt hour</t>
  </si>
  <si>
    <t>cubic meter</t>
  </si>
  <si>
    <t>person kilometer</t>
  </si>
  <si>
    <t>kilometer</t>
  </si>
  <si>
    <t>megajoule</t>
  </si>
  <si>
    <t>square meter</t>
  </si>
  <si>
    <t>ton kilometer</t>
  </si>
  <si>
    <t>kilowatt</t>
  </si>
  <si>
    <t>kilogram per hour</t>
  </si>
  <si>
    <t>person kilometer per hour</t>
  </si>
  <si>
    <t>ton kilometer per hour</t>
  </si>
  <si>
    <t>acetic acid heat of combustion (14.55 MJ/kg): \cite{engineeringtoolbox2017}</t>
  </si>
  <si>
    <t>Acetone LHV (8.22 kWh/kg): \cite{engineeringtoolbox2003}</t>
  </si>
  <si>
    <t>facility production (130 kt/yr): \cite{wernet2016} ; capacity factor (0.85): \cite{moret2017}</t>
  </si>
  <si>
    <t>CHP electrical efficiency (0.40): \cite{poschl2010} ; methane LHV (13.9 kWh/kg), methane density (0.716 kg/m3): \cite{engineeringtoolbox2003}</t>
  </si>
  <si>
    <t>yearly capacity (10 kt waste/yr): \cite{wernet2016} ; LHV wet wood (8.279 MJ/kg): \cite{moret2017} ; wet biomass input (7.72 GWh biomass / GWh electricity): \cite{moret2017} ; capacity factor (0.86): \cite{moret2017}</t>
  </si>
  <si>
    <t>H2 LHV (33.3 kWh/kg): \cite{engineeringtoolbox2003}, yearly production (0.05 Mt/yr): \cite{althaus2007}, capacity factor (0.85): \cite{moret2017}</t>
  </si>
  <si>
    <t>Tank per plant ratio: \cite{sacchi2022}</t>
  </si>
  <si>
    <t>Li-ion battery energy density (0.114 kWh/kg): \cite{notter2010}</t>
  </si>
  <si>
    <t>Benzene heat of combustion (42.5 MJ/kg): \cite{wernet2016}</t>
  </si>
  <si>
    <t>H2 LHV (33.3 kWh/kg): \cite{engineeringtoolbox2003}, yearly production (0.05 Mt/yr): \cite{althaus2007}, capacity factor (0.86): \cite{moret2017}</t>
  </si>
  <si>
    <t xml:space="preserve">Biodiesel LHV (10.50 kWh/kg): \cite{engineeringtoolbox2003}
</t>
  </si>
  <si>
    <t>people per vehicle (13), yearly distance (50000 km): \cite{sacchi2022}, capacity factor (0.297): \cite{limpens2021}</t>
  </si>
  <si>
    <t>people per vehicle (1.23): \cite{chairemobilite2018}, yearly distance (12000km): \cite{sacchi2022}, capacity factor (0.051): \cite{limpens2021}</t>
  </si>
  <si>
    <t>cement production (340 kt/year): \cite{wernet2016} ; capacity factor (0.85): \cite{moret2017}</t>
  </si>
  <si>
    <t>daily production (2700 t/day): \cite{wernet2016} ; capacity factor (0.86): \cite{moret2017}</t>
  </si>
  <si>
    <t>Density of CO2 at 50 bars and ambiant temperature (827.3 kg/m3): \cite{theengineeringtoolbox2018}</t>
  </si>
  <si>
    <t>refinery capacity (1000 kt of crude oil/year): \cite{wernet2016} ; diesel LHV (11.83 kWh/kg), hydrogen LHV (33.3 kWh/kg): \cite{engineeringtoolbox2003} ; hydrogen supply (1.5385 kWh H2/kWh diesel): \cite{willauer2012} ; capacity factor (0.86): \cite{moret2017}</t>
  </si>
  <si>
    <t>refinery capacity (1000 kt of crude oil/year): \cite{wernet2016} ; jet fuels LHV (43 MJ/kg): \cite{boehm2022} ; hydrogen LHV (33.3 kWh/kg): \cite{engineeringtoolbox2003} ;  hydrogen supply (1.190476 kWh H2/kWh diesel): \cite{willauer2012} ; capacity factor (0.86): \cite{moret2017}</t>
  </si>
  <si>
    <t>people per vehicle (21), yearly distance (50000 km): \cite{sacchi2022}, capacity factor (0.297): \cite{limpens2021}</t>
  </si>
  <si>
    <t>Bituminous coal LHV (27.91 MJ/kg): \cite{wernet2016}</t>
  </si>
  <si>
    <t>Tank per boiler: \cite{wernet2016}</t>
  </si>
  <si>
    <t>200 kWe ORC to be connected with a 1000 kWth furnace \cite{wernet2016}</t>
  </si>
  <si>
    <t>surface to power ratio (0.7 kWth/m2): \cite{iea-shc2004}</t>
  </si>
  <si>
    <t>HEX per HP: \cite{wernet2016}</t>
  </si>
  <si>
    <t>Fuel consumption (1.0417 kW_NG / kW_heat): \cite{wernet2016}</t>
  </si>
  <si>
    <t>Fuel consumption (1.0526 kW_oil / kW_heat): \cite{wernet2016}</t>
  </si>
  <si>
    <t>facility waste capacity (100 kt/year): \cite{wernet2016} ; process efficency (2.22 GWh waste/GWh heat): \cite{moret2017}, municipal solid waste energy density (12.35 MJ/kg): \cite{moret2017} ; capacity factor (0.85): \cite{moret2017}</t>
  </si>
  <si>
    <t>Diesel LHV (11.83 kWh/kg): \cite{engineeringtoolbox2003}</t>
  </si>
  <si>
    <t>Impacts of exports are counted negatively</t>
  </si>
  <si>
    <t>Ethane LHV (13.28 kWh/kg): \cite{engineeringtoolbox2003}</t>
  </si>
  <si>
    <t>ethylene heat of combustion (50.285 MJ/kg): \cite{engineeringtoolbox2017}, yearly production (0.05 Mt/yr): \cite{althaus2007} ; capacity factor (0.86): \cite{moret2017}</t>
  </si>
  <si>
    <t>acetic acid heat of combustion (14.55 MJ/kg): \cite{engineeringtoolbox2017}, yearly production (0.05 Mt/yr): \cite{althaus2007} ; capacity factor (0.86): \cite{moret2017}</t>
  </si>
  <si>
    <t>Ethanol LHV (31.58 MJ/kg): \cite{wernet2016}</t>
  </si>
  <si>
    <t>jet fuels LHV (43 MJ/kg): \cite{boehm2022}, yearly production (0.05 Mt/yr): \cite{althaus2007} ; capacity factor (0.86): \cite{moret2017}</t>
  </si>
  <si>
    <t>Ethylbenzene LHV (40.938 MJ/kg): \cite{wikipedia2023}</t>
  </si>
  <si>
    <t>Ethylene heat of combustion (50.285 MJ/kg): \cite{engineeringtoolbox2017}</t>
  </si>
  <si>
    <t>yearly production (0.05 Mt/yr): \cite{althaus2007} ; capacity factor (0.86): \cite{moret2017}</t>
  </si>
  <si>
    <t>yearly production (200 kt/yr): \cite{wernet2016} ; capacity factor (0.85): \cite{moret2017}</t>
  </si>
  <si>
    <t>yearly production (0.05 Mt/yr): \cite{althaus2007}, LHV diesel (11.83 kWh/kg): \cite{engineeringtoolbox2003} ; capacity factor (0.86): \cite{moret2017}</t>
  </si>
  <si>
    <t>LHV hydrogen (33.3 kWh/kg): \cite{engineeringtoolbox2003}</t>
  </si>
  <si>
    <t>Tank per plant: \cite{sacchi2022}</t>
  </si>
  <si>
    <t>LHV syngas (23.9 MJ/kg): \cite{vandergiesen2014}</t>
  </si>
  <si>
    <t>LHV gasoline (42.5 MJ/kg): \cite{wernet2016}</t>
  </si>
  <si>
    <t>H2 LHV (33.3 kWh/kg): \cite{engineeringtoolbox2003}</t>
  </si>
  <si>
    <t>hydrogen LHV (33.3 kWh/kg): \cite{engineeringtoolbox2003}</t>
  </si>
  <si>
    <t>LHV (33.3 kWh/kg): \cite{engineeringtoolbox2003}</t>
  </si>
  <si>
    <t>LHV of syngas (23.9 MJ/kg): \cite{vandergiesen2014}, CHP electrical efficiency (0.40): \cite{poschl2010}</t>
  </si>
  <si>
    <t>facility waste capacity (100 kt waste/year): \cite{wernet2016} ; municipal solid waste energy density (12.35 MJ/kg): \cite{moret2017}, process efficiency (1.2195 kWh waste/kWh heat): \cite{moret2017} ; capacity factor (0.85): \cite{moret2017}</t>
  </si>
  <si>
    <t>jet fuels LHV (43 MJ/kg): \cite{boehm2022}</t>
  </si>
  <si>
    <t>payload (750 kg), yearly distance (22660 km): \cite{sacchi2021}, capacity factor (0.093): \cite{limpens2021}</t>
  </si>
  <si>
    <t>Light fuel oil LHV (42.6 MJ/kg): \cite{engineeringtoolbox2003}</t>
  </si>
  <si>
    <t>liquified natural gas LHV (39 MJ/m3): \cite{wernet2016}</t>
  </si>
  <si>
    <t>ethylene heat of combustion (50.285 MJ/kg): \cite{engineeringtoolbox2017}, yearly production (0.05 Mt/yr): \cite{althaus2007}, capacity factor (0.86): \cite{moret2017}</t>
  </si>
  <si>
    <t>LHV natural gas (13.1 kWh/kg): \cite{engineeringtoolbox2003}</t>
  </si>
  <si>
    <t>LHV methanol (5.54 kWh/kg): \cite{engineeringtoolbox2003}, daily production (2700 t/day): \cite{wernet2016}, capacity factor (0.86): \cite{moret2017}</t>
  </si>
  <si>
    <t>LHV methanol (5.54 kWh/kg): \cite{engineeringtoolbox2003}</t>
  </si>
  <si>
    <t>acetic acid heat of combustion (14.55 MJ/kg): \cite{engineeringtoolbox2017}, yearly production (0.05 Mt/yr): \cite{althaus2007}, capacity factor (0.86): \cite{moret2017}</t>
  </si>
  <si>
    <t>LHV methanol (5.54 kWh/kg): \cite{engineeringtoolbox2003}, capacity factor (0.86): \cite{moret2017}, daily production (2700 t/day): \cite{wernet2016}</t>
  </si>
  <si>
    <t>benzene heat of combustion (41.833 MJ/kg): \cite{engineeringtoolbox2017}, yearly production (0.05 Mt/yr): \cite{althaus2007}, capacity factor (0.86): \cite{moret2017}</t>
  </si>
  <si>
    <t>natural gas LHV (39 MJ/m3): \cite{wernet2016}</t>
  </si>
  <si>
    <t>natural gas LHV (46.5 MJ/kg): \cite{wernet2016}</t>
  </si>
  <si>
    <t>hydrogen LHV (33.3 kWh/kg): \cite{engineeringtoolbox2003}, yearly production (0.05 Mt/yr): \cite{althaus2007}, capacity factor (0.86): \cite{moret2017}</t>
  </si>
  <si>
    <t>natural gas density (0.777 kg/m3), natural gas LHV (13.1 kWh/kg): \cite{engineeringtoolbox2003}</t>
  </si>
  <si>
    <t>Yearly production (368 kt/yr): \cite{wernet2016}, capacity factor (0.85): \cite{moret2017}</t>
  </si>
  <si>
    <t>yearly production (0.05 Mt/yr): \cite{althaus2007}, capacity factor (0.86): \cite{moret2017}</t>
  </si>
  <si>
    <t>phenol heat of combustion (32.45 MJ/kg): \cite{engineeringtoolbox2017}</t>
  </si>
  <si>
    <t>lifetime distance (55000000 km): \cite{wernet2016}, lifetime (25 years): assumption, mass of goods per plane (57 t): \cite{fischer2023}, capacity factor (0.60): \cite{theworldbank2009}</t>
  </si>
  <si>
    <t>lifetime distance (49000000 km): \cite{wernet2016}, lifetime (25 years): assumption, people per plane (265): \cite{fischer2023}, capacity factor (0.444): \cite{fischer2023}</t>
  </si>
  <si>
    <t>lifetime distance (49000000 km): \cite{wernet2016}, lifetime (25 years): assumption, people per plane (130): \cite{fischer2023}, capacity factor (0.349): \cite{fischer2023}</t>
  </si>
  <si>
    <t>Propane LHV (46.4 MJ/kg): \cite{engineeringtoolbox2003}</t>
  </si>
  <si>
    <t>Propylene LHV (45.799 MJ/kg): \cite{wikipedia2023}</t>
  </si>
  <si>
    <t>light fuel oil LHV (11.28 kWh/kg): \cite{engineeringtoolbox2003}, yearly production (0.05 Mt/yr): \cite{althaus2007}, capacity factor (0.85): \cite{moret2017}</t>
  </si>
  <si>
    <t>people per vehicle (47), yearly distance (24000 km): \cite{ciraig2022}, capacity factor (0.297): \cite{limpens2021}</t>
  </si>
  <si>
    <t>payload (6.3 t), yearly distance (73000 km): \cite{sacchi2021}, capacity factor (0.093): \cite{limpens2021}</t>
  </si>
  <si>
    <t>annual output (130 kt/y): \cite{wernet2016}, capacity factor (0.85): \cite{moret2017}</t>
  </si>
  <si>
    <t>Yearly production (2.97 GWh/yr): \cite{thomson2019}, capacity factor (0.35): \cite{kamidelivand2023}</t>
  </si>
  <si>
    <t>Toluene heat of combustion (42.43 MJ/kg): \cite{engineeringtoolbox2017}</t>
  </si>
  <si>
    <t>yearly distance (400000 km), people per vehicle (343): \cite{schnidrig2020}, capacity factor (0.275): \cite{limpens2021}</t>
  </si>
  <si>
    <t>payload (3.2 t), yearly distance (78000 km): \cite{sacchi2021}, capacity factor (0.093): \cite{limpens2021}</t>
  </si>
  <si>
    <t>Nuclear fuel heat value (3900 GJ/kg) \cite{worldnuclearassociation}</t>
  </si>
  <si>
    <t>Municipal solid waste LHV (12.35 MJ/kg): \cite{moret2017}</t>
  </si>
  <si>
    <t>Biowaste HHV (6.087 MJ/kg): \cite{wernet2016}, HHV to LHV ratio (0.95): \cite{engineeringtoolbox2003}</t>
  </si>
  <si>
    <t>Refinery sludge LHV (2.453 MJ/kg): \cite{wernet2016}</t>
  </si>
  <si>
    <t>LHV wood (15.4 MJ/kg): \cite{engineeringtoolbox2003}</t>
  </si>
  <si>
    <t>Daily production (2700 t/day): \cite{wernet2016}, LHV methanol (5.54 kWh/kg): \cite{engineeringtoolbox2003}, capacity factor (0.86): \cite{moret2017}</t>
  </si>
  <si>
    <t>Xylene LHV (40.961 MJ/kg): \cite{wikipedia2023}</t>
  </si>
  <si>
    <t>natural gas density (0.777 kg/m3): \cite{engineeringtoolbox2003}</t>
  </si>
  <si>
    <t>dry wood LHV (4.28 kWh/kg): \cite{engineeringtoolbox2003}</t>
  </si>
  <si>
    <t>diesel LHV (11.83 kWh/kg): \cite{engineeringtoolbox2003}</t>
  </si>
  <si>
    <t>hard coal HHV (9.06 kWh/kg): \cite{engineeringtoolbox2003}, LHV-to-HHV ratio (0.95)</t>
  </si>
  <si>
    <t>heavy fuel oil LHV (10.83 kWh/kg): \cite{engineeringtoolbox2003}</t>
  </si>
  <si>
    <t>kerosene LHV (11.94 kWh/kg): \cite{engineeringtoolbox2003}</t>
  </si>
  <si>
    <t>light fuel oil LHV (11.28 kWh/kg): \cite{engineeringtoolbox2003}</t>
  </si>
  <si>
    <t>lignite HHV (3.89 kWh/kg): \cite{engineeringtoolbox2003}, LHV-to-HHV ratio (0.95)</t>
  </si>
  <si>
    <t>HHV manure (15 MJ/kg): \cite{marin-batista2020}, LHV-to-HHV ratio (0.95)</t>
  </si>
  <si>
    <t>LHV natural gas (13.1 kWh/kg), density natural gas (0.777 kg/m3): \cite{engineeringtoolbox2003}</t>
  </si>
  <si>
    <t>gasoline LHV (12.06 kWh/kg): \cite{engineeringtoolbox2003}</t>
  </si>
  <si>
    <t>density of syngas: (0.470 kg/m3): \cite{vandergiesen2014}</t>
  </si>
  <si>
    <t>EHP_H2_GRID</t>
  </si>
  <si>
    <t>EHP_NG_GRID</t>
  </si>
  <si>
    <t>HP_H2_GRID</t>
  </si>
  <si>
    <t>HP_NG_GRID</t>
  </si>
  <si>
    <t>LP_H2_GRID</t>
  </si>
  <si>
    <t>LP_NG_GRID</t>
  </si>
  <si>
    <t>MP_H2_GRID</t>
  </si>
  <si>
    <t>MP_NG_GRID</t>
  </si>
  <si>
    <t>PV_ROOF</t>
  </si>
  <si>
    <t>PV_GROUND</t>
  </si>
  <si>
    <t>NEW_WIND_ONSHORE</t>
  </si>
  <si>
    <t>NEW_WIND_ONSHORE_CONNECTION</t>
  </si>
  <si>
    <t>NEW_WIND_ONSHORE_TURBINE</t>
  </si>
  <si>
    <t>Flow</t>
  </si>
  <si>
    <t>BIO_JETFUEL</t>
  </si>
  <si>
    <t>BIO_LFO</t>
  </si>
  <si>
    <t>BIO_METHANOL</t>
  </si>
  <si>
    <t>SNG_HP</t>
  </si>
  <si>
    <t>SNG_MP</t>
  </si>
  <si>
    <t>SNG_LP</t>
  </si>
  <si>
    <t>ELECTRICITY_HV</t>
  </si>
  <si>
    <t>ELECTRICITY_MV</t>
  </si>
  <si>
    <t>ELECTRICITY_LV</t>
  </si>
  <si>
    <t>HEAT_HIGH_T</t>
  </si>
  <si>
    <t>CO2_E</t>
  </si>
  <si>
    <t>CO2_C</t>
  </si>
  <si>
    <t>synthetic gas</t>
  </si>
  <si>
    <t>methanol</t>
  </si>
  <si>
    <t>propylene</t>
  </si>
  <si>
    <t>benzene</t>
  </si>
  <si>
    <t>ethylene</t>
  </si>
  <si>
    <t>LHV of synthetic gas (5.4 MJ/Nm3): \cite{wernet2016}</t>
  </si>
  <si>
    <t>BIOMASS_FORESTRY_UNEXPLOITED</t>
  </si>
  <si>
    <t>BIOMASS_FORESTRY_RESIDUAL</t>
  </si>
  <si>
    <t>BIOMASS_FORESTRY_LEFTOVER1</t>
  </si>
  <si>
    <t>BIOMASS_FORESTRY_LEFTOVER2</t>
  </si>
  <si>
    <t>BIOMASS_AGRICULTURE_DEJECTION</t>
  </si>
  <si>
    <t>BIOMASS_AGRICULTURE_RESIDUAL</t>
  </si>
  <si>
    <t>BIOMASS_WASTE_ORGANIC</t>
  </si>
  <si>
    <t>BIOMASS_WASTE_PAPER</t>
  </si>
  <si>
    <t>BIOMASS_WASTE_PAPER_FABRIC</t>
  </si>
  <si>
    <t>BIOMASS_WASTE_BUILDING</t>
  </si>
  <si>
    <t>BIOMASS_WASTE_MUNICIPAL</t>
  </si>
  <si>
    <t>methane LHV (13.9 kWh/kg), methane density (0.716 kg/m3): \cite{engineeringtoolbox2003}</t>
  </si>
  <si>
    <t>yearly capacity (10 kt waste/yr): \cite{wernet2016}, LHV wet wood (8.279 MJ/kg): \cite{moret2017}, process efficiency (3.3462 kWh wet biomass/kWh SNG): \cite{poschl2010} ; capacity factor (0.86): \cite{moret2017}</t>
  </si>
  <si>
    <t>unit capacity (160 kWe): \cite{wernet2016}</t>
  </si>
  <si>
    <t>LHV NG (47.1 MJ/kg): \cite{engineeringtoolbox2003}</t>
  </si>
  <si>
    <t>people per vehicle (1.23): \cite{chairemobilite2018}</t>
  </si>
  <si>
    <t xml:space="preserve"> jet fuels LHV (43 MJ/kg): \cite{boehm2022}</t>
  </si>
  <si>
    <t>LHV ethanol (7.42 kWh/kg): \cite{engineeringtoolbox2003}</t>
  </si>
  <si>
    <t>cumene heat of combustion (41.217 MJ/kg): \cite{wikipedia2023}</t>
  </si>
  <si>
    <t>allocation factor (0.2278): \cite{wernet2016}</t>
  </si>
  <si>
    <t>allocation factor (0.1636): \cite{wernet2016}</t>
  </si>
  <si>
    <t>allocation factor (0.3373): \cite{wernet2016}</t>
  </si>
  <si>
    <t>ethylene heat of combustion (50.285 MJ/kg): \cite{engineeringtoolbox2017}</t>
  </si>
  <si>
    <t>LHV diesel (11.83 kWh/kg): \cite{engineeringtoolbox2003}</t>
  </si>
  <si>
    <t>LHV of syngas (23.9 MJ/kg): \cite{vandergiesen2014}</t>
  </si>
  <si>
    <t>payload (750 kg): \cite{sacchi2021}</t>
  </si>
  <si>
    <t>LHV methanol (5.54 kWh/kg): \cite{engineeringtoolbox2003}: \cite{wernet2016}</t>
  </si>
  <si>
    <t>benzene heat of combustion (41.833 MJ/kg): \cite{engineeringtoolbox2017}</t>
  </si>
  <si>
    <t>payload (6.3 t): \cite{sacchi2021}</t>
  </si>
  <si>
    <t>payload (3.2 t): \cite{sacchi2021}</t>
  </si>
  <si>
    <t>NG consumption (2.5 kWh per kWh electricity): \cite{wernet2016}</t>
  </si>
  <si>
    <t>Capacity (1 MWe), electricity consumption (51.8 kWh/kg H2): \cite{gerloff2021}, LHV hydrogen (33.3 kWh/kg): \cite{engineeringtoolbox2003}</t>
  </si>
  <si>
    <t>Capacity (1 kWe)</t>
  </si>
  <si>
    <t>LHV NG (47.1 MJ/kg): \cite{engineeringtoolbox2003}, capacity factor (0.86): \cite{moret2017}, yearly production (0.05 Mt/yr): \cite{althaus2007}</t>
  </si>
  <si>
    <t>Factory capacity (5 MWth)</t>
  </si>
  <si>
    <t>Plant capacity (400 MWe)</t>
  </si>
  <si>
    <t>Plant capacity (450 MWe)</t>
  </si>
  <si>
    <t>Plant capacity (380 MWe)</t>
  </si>
  <si>
    <t>cumene heat of combustion (41.217 MJ/kg): \cite{wikipedia2023}, yearly production (0.05 Mt/yr): \cite{althaus2007}, capacity factor (0.86): \cite{moret2017}</t>
  </si>
  <si>
    <t>refinery capacity (1000 kt of crude oil/year): \cite{wernet2016}, refinery performance (3.412969 kt of wet biomass/GWh jetfuels): \cite{moret2017}, jet fuels LHV (43 MJ/kg): \cite{boehm2022} ; capacity factor (0.86): \cite{moret2017}</t>
  </si>
  <si>
    <t>LHV ethanol (7.42 kWh/kg): \cite{engineeringtoolbox2003}, capacity factor (0.86): \cite{moret2017}, factory capacity (90 kt ethanol/year): \cite{wernet2016}</t>
  </si>
  <si>
    <t>capacity factor (0.85): \cite{moret2017}, facility capacity (100 kt CO2/year): \cite{sacchi2022}</t>
  </si>
  <si>
    <t>capacity factor (0.85): \cite{moret2017}, facility capacity (1 Mt CO2/year): \cite{sacchi2022}</t>
  </si>
  <si>
    <t>Capacity (10 kW)</t>
  </si>
  <si>
    <t>Capacity (50 kW)</t>
  </si>
  <si>
    <t>Capacity (5 kW)</t>
  </si>
  <si>
    <t>Heat pump capacity (4 kWth)</t>
  </si>
  <si>
    <t>Heat pump capacity (10 kWth)</t>
  </si>
  <si>
    <t>Heater capacity (5 kWth)</t>
  </si>
  <si>
    <t>Capacity (20 MW)</t>
  </si>
  <si>
    <t>Furnace capacity (1000 kW)</t>
  </si>
  <si>
    <t>cogeneration production (0.44 kWe/kWth): \cite{moret2017}, cogeneration unit capacity (200 kWe)</t>
  </si>
  <si>
    <t>Thermal efficiency (0.45): \cite{wernet2016} ; allocation factor (0.3373): \cite{wernet2016}, capacity (6667 kW_fuel)</t>
  </si>
  <si>
    <t>capacity factor (0.85): \cite{moret2017}, capacity (1483 TJ/year)</t>
  </si>
  <si>
    <t>Heat pump capacity (30 kW)</t>
  </si>
  <si>
    <t>LHV diesel (11.83 kWh/kg), diesel density (0.846 kg/L): \cite{engineeringtoolbox2003}, capacity (16000 m3)</t>
  </si>
  <si>
    <t>LHV syngas (23.9 MJ/kg): \cite{vandergiesen2014}, factory capacity (5 MWth)</t>
  </si>
  <si>
    <t>LHV gasoline (12.06 kWh/kg), gasoline density (0.737 kg/L): \cite{engineeringtoolbox2003}, capacity (16000 m3)</t>
  </si>
  <si>
    <t>Geothermal capacity factor (0.86): \cite{grasby2012}, plant capacity (5.5 MW_el)</t>
  </si>
  <si>
    <t>Capacity (400 MW_el)</t>
  </si>
  <si>
    <t>Capacity (22583 MWe): \cite{wernet2016}</t>
  </si>
  <si>
    <t>Capacity (5 MW_th)</t>
  </si>
  <si>
    <t>Capacity (13787 MWe): \cite{wernet2016}</t>
  </si>
  <si>
    <t>Capacity (100 kW)</t>
  </si>
  <si>
    <t>Capacity (1 MW)</t>
  </si>
  <si>
    <t>Facility waste capacity (100 kt waste/year): \cite{wernet2016} ; municipal solid waste energy density (12.35 MJ/kg): \cite{moret2017}, process efficiency (1.2195 kWh waste/kWh heat): \cite{moret2017}, capacity factor (0.9): \cite{moret2017}</t>
  </si>
  <si>
    <t>Capacity (1000 kW)</t>
  </si>
  <si>
    <t>Capacity (1 MW_th)</t>
  </si>
  <si>
    <t>Cogeneration production (0.956 kWe/kWth): \cite{moret2017}, capacity (1 MW_el)</t>
  </si>
  <si>
    <t>Capacity (5 MWth)</t>
  </si>
  <si>
    <t>Capacity (4 kW)</t>
  </si>
  <si>
    <t>Capacity (10 MW_el)</t>
  </si>
  <si>
    <t>Capacity (1 kW_el)</t>
  </si>
  <si>
    <t>electricity consumption (54 kWh/kg H2): \cite{gerloff2021}, LHV hydrogen (33.3 kWh/kg): \cite{engineeringtoolbox2003}, capacity (1 MW_el)</t>
  </si>
  <si>
    <t>Capacity (3 kWp)</t>
  </si>
  <si>
    <t>Capacity (570 kWp)</t>
  </si>
  <si>
    <t>electricity consumption (42.3 kWh/kg H2): \cite{gerloff2021}, LHV hydrogen (33.3 kWh/kg): \cite{engineeringtoolbox2003}, capacity (1 MWe)</t>
  </si>
  <si>
    <t>Capacity (2 MW)</t>
  </si>
  <si>
    <t>cogeneration production (0.96 kWe/kWth): \cite{moret2017}, cogeneration unit capacity (50 kWe)</t>
  </si>
  <si>
    <t>Capacity (4 kW_th)</t>
  </si>
  <si>
    <t>cogeneration production (1.25 kWe/kWth): \cite{moret2017}, cogeneration unit capacity (50 kWe)</t>
  </si>
  <si>
    <t>cogeneration production (0.956 kWe/kWth): \cite{moret2017}, cogeneration unit capacity (1 MWe)</t>
  </si>
  <si>
    <t>natural gas density (0.777 kg/m3), natural gas LHV (13.1 kWh/kg): \cite{engineeringtoolbox2003}, capacity (16000 m3)</t>
  </si>
  <si>
    <t>cogeneration production (0.96 kWe/kWth): \cite{moret2017}</t>
  </si>
  <si>
    <t>boiler capacity (10 kW_th)</t>
  </si>
  <si>
    <t>boiler capacity (50 kW_th)</t>
  </si>
  <si>
    <t>cogeneration unit capacity (200 kWe), boiler capacity (10 kW_th), 200 kWe ORC to be connected with a 1000 kWth furnace \cite{wernet2016}</t>
  </si>
  <si>
    <t>cogeneration unit capacity (200 kWe), boiler capacity (50 kW_th), 200 kWe ORC to be connected with a 1000 kWth furnace \cite{wernet2016}</t>
  </si>
  <si>
    <t>cogeneration production (1.25 kWe/kWth): \cite{moret2017}, cogeneration unit capacity (1 MWe)</t>
  </si>
  <si>
    <t>cogeneration unit capacity (200 kWe), boiler capacity (6667 kW_fuel), thermal efficiency (0.45), 200 kWe ORC to be connected with a 1000 kWth furnace \cite{wernet2016}</t>
  </si>
  <si>
    <t>Cogeneration unit capacity (200 kW_el)</t>
  </si>
  <si>
    <t>Plant capacity (5 MW_th), cogeneration unit capacity (200 kW_el), 200 kWe ORC to be connected with a 1000 kWth furnace \cite{wernet2016}</t>
  </si>
  <si>
    <t>Capacity (1-10 MW): \cite{wernet2016}</t>
  </si>
  <si>
    <t>boiler unit capacity (10 kW_th)</t>
  </si>
  <si>
    <t>power plant capacity (1 GW)</t>
  </si>
  <si>
    <t>Lifetime distance 9600000 km: \cite{spielmann2007}; train composition 2 Locomotives:  \cite{schnidrig2020}; Lifetime of train 40 years:  \cite{spielmann2007}; 20 waggon per train: \cite{spielmann2007}; Load per wagon: 26t  \cite{spielmann2007}; capacity factor (0.342): \cite{limpens2021}</t>
  </si>
  <si>
    <t>2 locomotives per train \cite{spielmann2007}</t>
  </si>
  <si>
    <t xml:space="preserve">20 wagon per train: \cite{spielmann2007}; </t>
  </si>
  <si>
    <t>Lifetime distance (9600000 km): \cite{spielmann2007}, Lifetime of train (40 years): \cite{spielmann2007}, Load per wagon (26t): \cite{spielmann2007}, number of wagons (20): \cite{spielmann2007}, capacity factor (0.342): \cite{limpens2021}</t>
  </si>
  <si>
    <t>locomotives per train (2): \cite{spielmann2007}</t>
  </si>
  <si>
    <t>wagon per train (20): \cite{spielmann2007}</t>
  </si>
  <si>
    <t>Capacity (27.7 MW): \cite{wernet2016}, power consumption (0.0072037 kW_el / kW_H2): \cite{schnidrig2023}</t>
  </si>
  <si>
    <t>Capacity (27.7 MW): \cite{wernet2016}, power consumption (0.0201494 kW_el / kW_H2): \cite{schnidrig2023}</t>
  </si>
  <si>
    <t>Capacity (27.7 MW): \cite{wernet2016}, power consumption (0.0101922 kW_el / kW_H2): \cite{schnidrig2023}</t>
  </si>
  <si>
    <t>Capacity (300 kW): \cite{wernet2016}, power consumption (0.004858 kW_el / kW_NG): \cite{schnidrig2023}</t>
  </si>
  <si>
    <t>Capacity (300 kW): \cite{wernet2016}, power consumption (0.0044572 kW_el / kW_NG): \cite{schnidrig2023}</t>
  </si>
  <si>
    <t>Capacity (4 kW): \cite{wernet2016}, power consumption (0.0202881 kW_el / kW_NG): \cite{schnidrig2023}</t>
  </si>
  <si>
    <t>Cogeneration unit capacity (160 kW_el): \cite{wernet2016}, power consumption (0.0072037 kW_el / kW_H2): \cite{schnidrig2023}</t>
  </si>
  <si>
    <t>Cogeneration unit capacity (160 kW_el): \cite{wernet2016}, power consumption (0.0101922 kW_el / kW_H2): \cite{schnidrig2023}</t>
  </si>
  <si>
    <t>Cogeneration unit capacity (160 kW_el): \cite{wernet2016}, power consumption (0.0201494 kW_el / kW_H2): \cite{schnidrig2023}</t>
  </si>
  <si>
    <t>Cogeneration unit capacity (160 kW_el): \cite{wernet2016}, power consumption (0.004858 kW_el / kW_NG): \cite{schnidrig2023}</t>
  </si>
  <si>
    <t>Cogeneration unit capacity (160 kW_el): \cite{wernet2016}, power consumption (0.004858 kW_el / kW_SNG): \cite{schnidrig2023}</t>
  </si>
  <si>
    <t>Cogeneration unit capacity (160 kW_el): \cite{wernet2016}, power consumption (0.0044572 kW_el / kW_NG): \cite{schnidrig2023}</t>
  </si>
  <si>
    <t>Cogeneration unit capacity (160 kW_el): \cite{wernet2016}, power consumption (0.0044572 kW_el / kW_SNG): \cite{schnidrig2023}</t>
  </si>
  <si>
    <t>Cogeneration unit capacity (160 kW_el): \cite{wernet2016}, power consumption (0.0202881 kW_el / kW_NG): \cite{schnidrig2023}</t>
  </si>
  <si>
    <t>Cogeneration unit capacity (160 kW_el): \cite{wernet2016}, power consumption (0.0202881 kW_el / kW_SNG): \cite{schnidrig2023}</t>
  </si>
  <si>
    <t>Capacity (300 kW): \cite{wernet2016}, power consumption (0.004858 kW_el / kW_SNG): \cite{schnidrig2023}</t>
  </si>
  <si>
    <t>Capacity (4 kW): \cite{wernet2016}, power consumption (0.0202881 kW_el / kW_SNG): \cite{schnidrig2023}</t>
  </si>
  <si>
    <t>Capacity (300 kW): \cite{wernet2016}, power consumption (0.0044572 kW_el / kW_SNG): \cite{schnidrig2023}</t>
  </si>
  <si>
    <t>HFO</t>
  </si>
  <si>
    <t>LHV HFO (10.83 kWh/kg): \cite{engineeringtoolbox2003}</t>
  </si>
  <si>
    <t>BIO_HFO</t>
  </si>
  <si>
    <t>CONTAINER_ELD</t>
  </si>
  <si>
    <t>Load capacity (deadweight tonnage) (43000 tonnes), yearly activity (7200 Mtkm/yr), capacity factor (0.70): \cite{wernet2016}</t>
  </si>
  <si>
    <t>CONTAINER_MEOH_ELD</t>
  </si>
  <si>
    <t>OIL_TANKER_ELD</t>
  </si>
  <si>
    <t>Load capacity (deadweight tonnage) (36000 tonnes), yearly activity (4100 Mtkm/yr), capacity factor (0.48): \cite{wernet2016}</t>
  </si>
  <si>
    <t>OIL_TANKER_MEOH_ELD</t>
  </si>
  <si>
    <t>BULK_CARRIER_ELD</t>
  </si>
  <si>
    <t>Load capacity (deadweight tonnage) (51000 tonnes), yearly activity (5100 Mtkm/yr), capacity factor (0.53): \cite{wernet2016}</t>
  </si>
  <si>
    <t>BULK_CARRIER_MEOH_ELD</t>
  </si>
  <si>
    <t>CONTAINER_BIO_ELD</t>
  </si>
  <si>
    <t>CONTAINER_BIOMEOH_ELD</t>
  </si>
  <si>
    <t>OIL_TANKER_BIO_ELD</t>
  </si>
  <si>
    <t>OIL_TANKER_BIOMEOH_ELD</t>
  </si>
  <si>
    <t>BULK_CARRIER_BIO_ELD</t>
  </si>
  <si>
    <t>BULK_CARRIER_BIOMEOH_ELD</t>
  </si>
  <si>
    <t>Capacity (2 kWe PEM), cogeneration (2.64 kWe/kWth): \cite{moret2017}</t>
  </si>
  <si>
    <t>allocation factor (0.123336767415877): \cite{sacchi2022}</t>
  </si>
  <si>
    <t>COMMUTER_RAIL_DIESEL_SD</t>
  </si>
  <si>
    <t>COMMUTER_RAIL_ELEC_SD</t>
  </si>
  <si>
    <t>energy content (dry) (18.43 MJ/kg): \cite{wsp2021}</t>
  </si>
  <si>
    <t>energy content (dry) (18.61 MJ/kg): \cite{wsp2021}</t>
  </si>
  <si>
    <t>energy content (dry) (19.06 MJ/kg): \cite{wsp2021}</t>
  </si>
  <si>
    <t>energy content (dry) (18.93 MJ/kg): \cite{wsp2021}</t>
  </si>
  <si>
    <t>energy content (dry) (7.09 MJ/kg): \cite{wsp2021}</t>
  </si>
  <si>
    <t>energy content (dry) (15.34 MJ/kg): \cite{wsp2021}</t>
  </si>
  <si>
    <t>energy content (dry) (17.09 MJ/kg): \cite{wsp2021}</t>
  </si>
  <si>
    <t>energy content (dry) (15.98 MJ/kg): \cite{wsp2021}</t>
  </si>
  <si>
    <t>energy content (dry) (18.63 MJ/kg): \cite{wsp2021}</t>
  </si>
  <si>
    <t>energy content (dry) (11.24 MJ/kg): \cite{wsp2021}</t>
  </si>
  <si>
    <t>energy content (dry) (7.64 MJ/kg): \cite{wsp2021}</t>
  </si>
  <si>
    <t>dry biomass LHV (19 MJ/kg): \cite{sacchi2022}</t>
  </si>
  <si>
    <t>CARBON_CAPTURE_AMINES</t>
  </si>
  <si>
    <t>CARBON_CAPTURE</t>
  </si>
  <si>
    <t>CARBON_CAPTURE_MEMBRANES</t>
  </si>
  <si>
    <t>CARBON_CAPTURE_MOF</t>
  </si>
  <si>
    <t>CARBON_TRANSPORT_INJECTION</t>
  </si>
  <si>
    <t>HEAT_LOW_T_DECEN</t>
  </si>
  <si>
    <t>CO2_A</t>
  </si>
  <si>
    <t>Same as EHP_NG_GRID</t>
  </si>
  <si>
    <t>Same as HP_NG_GRID</t>
  </si>
  <si>
    <t>Same as LP_NG_GRID</t>
  </si>
  <si>
    <t>Same as MP_NG_GRID</t>
  </si>
  <si>
    <t>Existing grid length (12581 km), corresponding grid capacity (35.71 GW): \cite{hydro-quebec2023}</t>
  </si>
  <si>
    <t>Existing grid length (22341 km), corresponding grid capacity (30.34 GW): \cite{hydro-quebec2023}</t>
  </si>
  <si>
    <t>Existing grid length (120472 km), corresponding grid capacity (23.55 GW): \cite{hydro-quebec2023}</t>
  </si>
  <si>
    <t>Existing grid length (108096 km), corresponding grid capacity (21.45 GW): \cite{hydro-quebec2023}</t>
  </si>
  <si>
    <t>payload (13.4 t), yearly distance (108000 km): \cite{sacchi2021}, capacity factor (0.093): \cite{limpens2021}</t>
  </si>
  <si>
    <t>payload (13.4 t): \cite{sacchi2021}</t>
  </si>
  <si>
    <t>payload (7.4 t), yearly distance (98000 km): \cite{sacchi2021}, capacity factor (0.093): \cite{limpens2021}</t>
  </si>
  <si>
    <t>payload (7.4 t): \cite{sacchi2021}</t>
  </si>
  <si>
    <t>yearly distance (27300 km/yr): \cite{wernet2016} ; people per vehicle (28): \cite{wernet2016}, capacity factor (0.342): \cite{limpens2021}</t>
  </si>
  <si>
    <t>vehicle performance (150000 km/yr), people per vehicle (46): \cite{wernet2016}, capacity factor (0.345): \cite{limpens2021}</t>
  </si>
  <si>
    <t>lignocellulosic biomass</t>
  </si>
  <si>
    <t>corn</t>
  </si>
  <si>
    <t>corn energy content (13.622 MJ/kg): \cite{sacchi2022}</t>
  </si>
  <si>
    <t>Existing grid length (789 km), corresponding grid capacity (9.76 GW): data from communications with Energir</t>
  </si>
  <si>
    <t>Existing grid length (76 km), corresponding grid capacity (9.76 GW): data from communications with Energir</t>
  </si>
  <si>
    <t>Existing grid length (7560 km), corresponding grid capacity (5.05 GW): data from communications with Energir</t>
  </si>
  <si>
    <t>Existing grid length (1966 km), corresponding grid capacity (9.74 GW): data from communications with Energir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</si>
</sst>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1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18"/>
  <sheetViews>
    <sheetView tabSelected="1" topLeftCell="A1241" zoomScaleNormal="100" workbookViewId="0">
      <selection activeCell="D1247" sqref="D1247"/>
    </sheetView>
  </sheetViews>
  <sheetFormatPr defaultRowHeight="14.5" x14ac:dyDescent="0.35"/>
  <cols>
    <col min="1" max="1" width="35.453125" bestFit="1" customWidth="1"/>
    <col min="2" max="2" width="11.7265625" bestFit="1" customWidth="1"/>
    <col min="3" max="3" width="11.81640625" bestFit="1" customWidth="1"/>
    <col min="4" max="4" width="15.08984375" bestFit="1" customWidth="1"/>
    <col min="5" max="5" width="23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717</v>
      </c>
      <c r="C2">
        <f>1 * 3.6 / 14.55</f>
        <v>0.24742268041237112</v>
      </c>
      <c r="D2" t="s">
        <v>721</v>
      </c>
      <c r="E2" t="s">
        <v>723</v>
      </c>
      <c r="F2" t="s">
        <v>734</v>
      </c>
    </row>
    <row r="3" spans="1:6" x14ac:dyDescent="0.35">
      <c r="A3" t="s">
        <v>7</v>
      </c>
      <c r="B3" t="s">
        <v>717</v>
      </c>
      <c r="C3">
        <f>1 / 8.22</f>
        <v>0.121654501216545</v>
      </c>
      <c r="D3" t="s">
        <v>721</v>
      </c>
      <c r="E3" t="s">
        <v>723</v>
      </c>
      <c r="F3" t="s">
        <v>735</v>
      </c>
    </row>
    <row r="4" spans="1:6" x14ac:dyDescent="0.35">
      <c r="A4" t="s">
        <v>8</v>
      </c>
      <c r="B4" t="s">
        <v>718</v>
      </c>
      <c r="C4">
        <v>1</v>
      </c>
      <c r="D4" t="s">
        <v>722</v>
      </c>
      <c r="E4" t="s">
        <v>730</v>
      </c>
      <c r="F4" t="s">
        <v>896</v>
      </c>
    </row>
    <row r="5" spans="1:6" x14ac:dyDescent="0.35">
      <c r="A5" t="s">
        <v>8</v>
      </c>
      <c r="B5" t="s">
        <v>719</v>
      </c>
      <c r="C5">
        <v>1</v>
      </c>
      <c r="D5" t="s">
        <v>723</v>
      </c>
      <c r="E5" t="s">
        <v>723</v>
      </c>
    </row>
    <row r="6" spans="1:6" x14ac:dyDescent="0.35">
      <c r="A6" t="s">
        <v>9</v>
      </c>
      <c r="B6" t="s">
        <v>718</v>
      </c>
      <c r="C6">
        <f>1/(33.3/51.8) / 1000</f>
        <v>1.5555555555555559E-3</v>
      </c>
      <c r="D6" t="s">
        <v>722</v>
      </c>
      <c r="E6" t="s">
        <v>730</v>
      </c>
      <c r="F6" t="s">
        <v>895</v>
      </c>
    </row>
    <row r="7" spans="1:6" x14ac:dyDescent="0.35">
      <c r="A7" t="s">
        <v>9</v>
      </c>
      <c r="B7" t="s">
        <v>719</v>
      </c>
      <c r="C7">
        <f>1 / 33.3</f>
        <v>3.0030030030030033E-2</v>
      </c>
      <c r="D7" t="s">
        <v>721</v>
      </c>
      <c r="E7" t="s">
        <v>723</v>
      </c>
      <c r="F7" t="s">
        <v>773</v>
      </c>
    </row>
    <row r="8" spans="1:6" x14ac:dyDescent="0.35">
      <c r="A8" t="s">
        <v>10</v>
      </c>
      <c r="B8" t="s">
        <v>718</v>
      </c>
      <c r="C8">
        <v>1</v>
      </c>
      <c r="D8" t="s">
        <v>722</v>
      </c>
      <c r="E8" t="s">
        <v>722</v>
      </c>
    </row>
    <row r="9" spans="1:6" x14ac:dyDescent="0.35">
      <c r="A9" t="s">
        <v>11</v>
      </c>
      <c r="B9" t="s">
        <v>718</v>
      </c>
      <c r="C9">
        <v>-1</v>
      </c>
      <c r="D9" t="s">
        <v>722</v>
      </c>
      <c r="E9" t="s">
        <v>722</v>
      </c>
    </row>
    <row r="10" spans="1:6" x14ac:dyDescent="0.35">
      <c r="A10" t="s">
        <v>12</v>
      </c>
      <c r="B10" t="s">
        <v>718</v>
      </c>
      <c r="C10">
        <v>1</v>
      </c>
      <c r="D10" t="s">
        <v>722</v>
      </c>
      <c r="E10" t="s">
        <v>722</v>
      </c>
    </row>
    <row r="11" spans="1:6" x14ac:dyDescent="0.35">
      <c r="A11" t="s">
        <v>13</v>
      </c>
      <c r="B11" t="s">
        <v>718</v>
      </c>
      <c r="C11">
        <v>-1</v>
      </c>
      <c r="D11" t="s">
        <v>722</v>
      </c>
      <c r="E11" t="s">
        <v>722</v>
      </c>
    </row>
    <row r="12" spans="1:6" x14ac:dyDescent="0.35">
      <c r="A12" t="s">
        <v>14</v>
      </c>
      <c r="B12" t="s">
        <v>718</v>
      </c>
      <c r="C12">
        <f>(8760*0.85)/130 / 1000000</f>
        <v>5.7276923076923077E-5</v>
      </c>
      <c r="D12" t="s">
        <v>722</v>
      </c>
      <c r="E12" t="s">
        <v>731</v>
      </c>
      <c r="F12" t="s">
        <v>736</v>
      </c>
    </row>
    <row r="13" spans="1:6" x14ac:dyDescent="0.35">
      <c r="A13" t="s">
        <v>14</v>
      </c>
      <c r="B13" t="s">
        <v>719</v>
      </c>
      <c r="C13">
        <v>1</v>
      </c>
      <c r="D13" t="s">
        <v>721</v>
      </c>
      <c r="E13" t="s">
        <v>721</v>
      </c>
    </row>
    <row r="14" spans="1:6" x14ac:dyDescent="0.35">
      <c r="A14" t="s">
        <v>15</v>
      </c>
      <c r="B14" t="s">
        <v>718</v>
      </c>
      <c r="C14">
        <f>(8760*0.85)/130 / 1000000</f>
        <v>5.7276923076923077E-5</v>
      </c>
      <c r="D14" t="s">
        <v>722</v>
      </c>
      <c r="E14" t="s">
        <v>731</v>
      </c>
      <c r="F14" t="s">
        <v>736</v>
      </c>
    </row>
    <row r="15" spans="1:6" x14ac:dyDescent="0.35">
      <c r="A15" t="s">
        <v>15</v>
      </c>
      <c r="B15" t="s">
        <v>719</v>
      </c>
      <c r="C15">
        <v>1</v>
      </c>
      <c r="D15" t="s">
        <v>721</v>
      </c>
      <c r="E15" t="s">
        <v>721</v>
      </c>
    </row>
    <row r="16" spans="1:6" x14ac:dyDescent="0.35">
      <c r="A16" t="s">
        <v>16</v>
      </c>
      <c r="B16" t="s">
        <v>718</v>
      </c>
      <c r="C16">
        <f>3.6 * 8760 * 0.86 / (10 * 8.279 * 1/3.3462) / 1000000</f>
        <v>1.0961729236864358E-3</v>
      </c>
      <c r="D16" t="s">
        <v>722</v>
      </c>
      <c r="E16" t="s">
        <v>730</v>
      </c>
      <c r="F16" t="s">
        <v>876</v>
      </c>
    </row>
    <row r="17" spans="1:6" x14ac:dyDescent="0.35">
      <c r="A17" t="s">
        <v>16</v>
      </c>
      <c r="B17" t="s">
        <v>719</v>
      </c>
      <c r="C17">
        <f>1 / (13.9 * 0.716)</f>
        <v>0.10047827659659983</v>
      </c>
      <c r="D17" t="s">
        <v>724</v>
      </c>
      <c r="E17" t="s">
        <v>723</v>
      </c>
      <c r="F17" t="s">
        <v>875</v>
      </c>
    </row>
    <row r="18" spans="1:6" x14ac:dyDescent="0.35">
      <c r="A18" t="s">
        <v>17</v>
      </c>
      <c r="B18" t="s">
        <v>718</v>
      </c>
      <c r="C18">
        <v>1</v>
      </c>
      <c r="D18" t="s">
        <v>730</v>
      </c>
      <c r="E18" t="s">
        <v>730</v>
      </c>
    </row>
    <row r="19" spans="1:6" x14ac:dyDescent="0.35">
      <c r="A19" t="s">
        <v>17</v>
      </c>
      <c r="B19" t="s">
        <v>719</v>
      </c>
      <c r="C19">
        <f>1 / (0.716 * 13.9 * 0.4)</f>
        <v>0.25119569149149956</v>
      </c>
      <c r="D19" t="s">
        <v>724</v>
      </c>
      <c r="E19" t="s">
        <v>723</v>
      </c>
      <c r="F19" t="s">
        <v>737</v>
      </c>
    </row>
    <row r="20" spans="1:6" x14ac:dyDescent="0.35">
      <c r="A20" t="s">
        <v>18</v>
      </c>
      <c r="B20" t="s">
        <v>718</v>
      </c>
      <c r="C20">
        <f>1 / 160</f>
        <v>6.2500000000000003E-3</v>
      </c>
      <c r="D20" t="s">
        <v>722</v>
      </c>
      <c r="E20" t="s">
        <v>730</v>
      </c>
      <c r="F20" t="s">
        <v>877</v>
      </c>
    </row>
    <row r="21" spans="1:6" x14ac:dyDescent="0.35">
      <c r="A21" t="s">
        <v>19</v>
      </c>
      <c r="B21" t="s">
        <v>718</v>
      </c>
      <c r="C21">
        <f>3.6 * 8760 * 0.86 * 7.72 / (10 * 8.279) / 1000000</f>
        <v>2.5289746491122117E-3</v>
      </c>
      <c r="D21" t="s">
        <v>722</v>
      </c>
      <c r="E21" t="s">
        <v>730</v>
      </c>
      <c r="F21" t="s">
        <v>738</v>
      </c>
    </row>
    <row r="22" spans="1:6" x14ac:dyDescent="0.35">
      <c r="A22" t="s">
        <v>20</v>
      </c>
      <c r="B22" t="s">
        <v>718</v>
      </c>
      <c r="C22">
        <f>8760*0.85 / (0.05 * 1000 * 33.3) / 1000000</f>
        <v>4.4720720720720726E-6</v>
      </c>
      <c r="D22" t="s">
        <v>722</v>
      </c>
      <c r="E22" t="s">
        <v>730</v>
      </c>
      <c r="F22" t="s">
        <v>739</v>
      </c>
    </row>
    <row r="23" spans="1:6" x14ac:dyDescent="0.35">
      <c r="A23" t="s">
        <v>20</v>
      </c>
      <c r="B23" t="s">
        <v>719</v>
      </c>
      <c r="C23">
        <f>1/33.3</f>
        <v>3.0030030030030033E-2</v>
      </c>
      <c r="D23" t="s">
        <v>721</v>
      </c>
      <c r="E23" t="s">
        <v>723</v>
      </c>
      <c r="F23" t="s">
        <v>777</v>
      </c>
    </row>
    <row r="24" spans="1:6" x14ac:dyDescent="0.35">
      <c r="A24" t="s">
        <v>21</v>
      </c>
      <c r="B24" t="s">
        <v>718</v>
      </c>
      <c r="C24">
        <f>8760*0.85 / (0.05 * 1000 * 33.3) / 1000000</f>
        <v>4.4720720720720726E-6</v>
      </c>
      <c r="D24" t="s">
        <v>722</v>
      </c>
      <c r="E24" t="s">
        <v>730</v>
      </c>
      <c r="F24" t="s">
        <v>739</v>
      </c>
    </row>
    <row r="25" spans="1:6" x14ac:dyDescent="0.35">
      <c r="A25" t="s">
        <v>21</v>
      </c>
      <c r="B25" t="s">
        <v>719</v>
      </c>
      <c r="C25">
        <f>1/33.3</f>
        <v>3.0030030030030033E-2</v>
      </c>
      <c r="D25" t="s">
        <v>721</v>
      </c>
      <c r="E25" t="s">
        <v>723</v>
      </c>
      <c r="F25" t="s">
        <v>777</v>
      </c>
    </row>
    <row r="26" spans="1:6" x14ac:dyDescent="0.35">
      <c r="A26" t="s">
        <v>22</v>
      </c>
      <c r="B26" t="s">
        <v>718</v>
      </c>
      <c r="C26">
        <v>1</v>
      </c>
      <c r="D26" t="s">
        <v>722</v>
      </c>
      <c r="E26" t="s">
        <v>722</v>
      </c>
    </row>
    <row r="27" spans="1:6" x14ac:dyDescent="0.35">
      <c r="A27" t="s">
        <v>23</v>
      </c>
      <c r="B27" t="s">
        <v>718</v>
      </c>
      <c r="C27">
        <f>0.00000000254628/5.34876232801608E-10</f>
        <v>4.7605031666165765</v>
      </c>
      <c r="D27" t="s">
        <v>722</v>
      </c>
      <c r="E27" t="s">
        <v>722</v>
      </c>
      <c r="F27" t="s">
        <v>740</v>
      </c>
    </row>
    <row r="28" spans="1:6" x14ac:dyDescent="0.35">
      <c r="A28" t="s">
        <v>24</v>
      </c>
      <c r="B28" t="s">
        <v>718</v>
      </c>
      <c r="C28">
        <v>1</v>
      </c>
      <c r="D28" t="s">
        <v>722</v>
      </c>
      <c r="E28" t="s">
        <v>722</v>
      </c>
    </row>
    <row r="29" spans="1:6" x14ac:dyDescent="0.35">
      <c r="A29" t="s">
        <v>25</v>
      </c>
      <c r="B29" t="s">
        <v>718</v>
      </c>
      <c r="C29">
        <f>0.00000000254628/5.34874716181652E-10</f>
        <v>4.7605166648693169</v>
      </c>
      <c r="D29" t="s">
        <v>722</v>
      </c>
      <c r="E29" t="s">
        <v>722</v>
      </c>
      <c r="F29" t="s">
        <v>740</v>
      </c>
    </row>
    <row r="30" spans="1:6" x14ac:dyDescent="0.35">
      <c r="A30" t="s">
        <v>26</v>
      </c>
      <c r="B30" t="s">
        <v>718</v>
      </c>
      <c r="C30">
        <f>1 / 0.114</f>
        <v>8.7719298245614024</v>
      </c>
      <c r="D30" t="s">
        <v>721</v>
      </c>
      <c r="E30" t="s">
        <v>723</v>
      </c>
      <c r="F30" t="s">
        <v>741</v>
      </c>
    </row>
    <row r="31" spans="1:6" x14ac:dyDescent="0.35">
      <c r="A31" t="s">
        <v>27</v>
      </c>
      <c r="B31" t="s">
        <v>717</v>
      </c>
      <c r="C31">
        <f>1 * 3.6 / 42.5</f>
        <v>8.4705882352941173E-2</v>
      </c>
      <c r="D31" t="s">
        <v>721</v>
      </c>
      <c r="E31" t="s">
        <v>723</v>
      </c>
      <c r="F31" t="s">
        <v>742</v>
      </c>
    </row>
    <row r="32" spans="1:6" x14ac:dyDescent="0.35">
      <c r="A32" t="s">
        <v>28</v>
      </c>
      <c r="B32" t="s">
        <v>718</v>
      </c>
      <c r="C32">
        <f>8760*0.86 / (0.05 * 1000 * 33.3) / 1000000</f>
        <v>4.5246846846846847E-6</v>
      </c>
      <c r="D32" t="s">
        <v>722</v>
      </c>
      <c r="E32" t="s">
        <v>730</v>
      </c>
      <c r="F32" t="s">
        <v>743</v>
      </c>
    </row>
    <row r="33" spans="1:6" x14ac:dyDescent="0.35">
      <c r="A33" t="s">
        <v>28</v>
      </c>
      <c r="B33" t="s">
        <v>719</v>
      </c>
      <c r="C33">
        <f>1/33.3</f>
        <v>3.0030030030030033E-2</v>
      </c>
      <c r="D33" t="s">
        <v>721</v>
      </c>
      <c r="E33" t="s">
        <v>723</v>
      </c>
      <c r="F33" t="s">
        <v>777</v>
      </c>
    </row>
    <row r="34" spans="1:6" x14ac:dyDescent="0.35">
      <c r="A34" t="s">
        <v>29</v>
      </c>
      <c r="B34" t="s">
        <v>718</v>
      </c>
      <c r="C34">
        <f>8760*0.86 / (0.05 * 1000 * 33.3) / 1000000</f>
        <v>4.5246846846846847E-6</v>
      </c>
      <c r="D34" t="s">
        <v>722</v>
      </c>
      <c r="E34" t="s">
        <v>730</v>
      </c>
      <c r="F34" t="s">
        <v>743</v>
      </c>
    </row>
    <row r="35" spans="1:6" x14ac:dyDescent="0.35">
      <c r="A35" t="s">
        <v>29</v>
      </c>
      <c r="B35" t="s">
        <v>719</v>
      </c>
      <c r="C35">
        <f>1/33.3</f>
        <v>3.0030030030030033E-2</v>
      </c>
      <c r="D35" t="s">
        <v>721</v>
      </c>
      <c r="E35" t="s">
        <v>723</v>
      </c>
      <c r="F35" t="s">
        <v>777</v>
      </c>
    </row>
    <row r="36" spans="1:6" x14ac:dyDescent="0.35">
      <c r="A36" t="s">
        <v>30</v>
      </c>
      <c r="B36" t="s">
        <v>718</v>
      </c>
      <c r="C36">
        <v>1</v>
      </c>
      <c r="D36" t="s">
        <v>722</v>
      </c>
      <c r="E36" t="s">
        <v>722</v>
      </c>
    </row>
    <row r="37" spans="1:6" x14ac:dyDescent="0.35">
      <c r="A37" t="s">
        <v>31</v>
      </c>
      <c r="B37" t="s">
        <v>718</v>
      </c>
      <c r="C37">
        <f>0.00000000254628/5.34874716181652E-10</f>
        <v>4.7605166648693169</v>
      </c>
      <c r="D37" t="s">
        <v>722</v>
      </c>
      <c r="E37" t="s">
        <v>722</v>
      </c>
      <c r="F37" t="s">
        <v>740</v>
      </c>
    </row>
    <row r="38" spans="1:6" x14ac:dyDescent="0.35">
      <c r="A38" t="s">
        <v>32</v>
      </c>
      <c r="B38" t="s">
        <v>718</v>
      </c>
      <c r="C38">
        <v>1</v>
      </c>
      <c r="D38" t="s">
        <v>722</v>
      </c>
      <c r="E38" t="s">
        <v>722</v>
      </c>
    </row>
    <row r="39" spans="1:6" x14ac:dyDescent="0.35">
      <c r="A39" t="s">
        <v>33</v>
      </c>
      <c r="B39" t="s">
        <v>718</v>
      </c>
      <c r="C39">
        <f>0.00000000254628/5.34874716181652E-10</f>
        <v>4.7605166648693169</v>
      </c>
      <c r="D39" t="s">
        <v>722</v>
      </c>
      <c r="E39" t="s">
        <v>722</v>
      </c>
      <c r="F39" t="s">
        <v>740</v>
      </c>
    </row>
    <row r="40" spans="1:6" x14ac:dyDescent="0.35">
      <c r="A40" t="s">
        <v>34</v>
      </c>
      <c r="B40" t="s">
        <v>718</v>
      </c>
      <c r="C40">
        <f>3.6 * 8760 * 0.86 / (0.05 * 1000 * 47.1) / 1000000</f>
        <v>1.1516331210191084E-5</v>
      </c>
      <c r="D40" t="s">
        <v>722</v>
      </c>
      <c r="E40" t="s">
        <v>730</v>
      </c>
      <c r="F40" t="s">
        <v>897</v>
      </c>
    </row>
    <row r="41" spans="1:6" x14ac:dyDescent="0.35">
      <c r="A41" t="s">
        <v>34</v>
      </c>
      <c r="B41" t="s">
        <v>719</v>
      </c>
      <c r="C41">
        <f>1/(47.1/3.6)</f>
        <v>7.6433121019108277E-2</v>
      </c>
      <c r="D41" t="s">
        <v>721</v>
      </c>
      <c r="E41" t="s">
        <v>723</v>
      </c>
      <c r="F41" t="s">
        <v>878</v>
      </c>
    </row>
    <row r="42" spans="1:6" x14ac:dyDescent="0.35">
      <c r="A42" t="s">
        <v>35</v>
      </c>
      <c r="B42" t="s">
        <v>718</v>
      </c>
      <c r="C42">
        <f>8760*0.86 / (0.05 * 1000 * 33.3) / 1000000</f>
        <v>4.5246846846846847E-6</v>
      </c>
      <c r="D42" t="s">
        <v>722</v>
      </c>
      <c r="E42" t="s">
        <v>730</v>
      </c>
      <c r="F42" t="s">
        <v>743</v>
      </c>
    </row>
    <row r="43" spans="1:6" x14ac:dyDescent="0.35">
      <c r="A43" t="s">
        <v>35</v>
      </c>
      <c r="B43" t="s">
        <v>719</v>
      </c>
      <c r="C43">
        <f>1/33.3</f>
        <v>3.0030030030030033E-2</v>
      </c>
      <c r="D43" t="s">
        <v>721</v>
      </c>
      <c r="E43" t="s">
        <v>723</v>
      </c>
      <c r="F43" t="s">
        <v>777</v>
      </c>
    </row>
    <row r="44" spans="1:6" x14ac:dyDescent="0.35">
      <c r="A44" t="s">
        <v>36</v>
      </c>
      <c r="B44" t="s">
        <v>718</v>
      </c>
      <c r="C44">
        <f>8760*0.86 / (0.05 * 1000 * 33.3) / 1000000</f>
        <v>4.5246846846846847E-6</v>
      </c>
      <c r="D44" t="s">
        <v>722</v>
      </c>
      <c r="E44" t="s">
        <v>730</v>
      </c>
      <c r="F44" t="s">
        <v>743</v>
      </c>
    </row>
    <row r="45" spans="1:6" x14ac:dyDescent="0.35">
      <c r="A45" t="s">
        <v>36</v>
      </c>
      <c r="B45" t="s">
        <v>719</v>
      </c>
      <c r="C45">
        <f>1/33.3</f>
        <v>3.0030030030030033E-2</v>
      </c>
      <c r="D45" t="s">
        <v>721</v>
      </c>
      <c r="E45" t="s">
        <v>723</v>
      </c>
      <c r="F45" t="s">
        <v>777</v>
      </c>
    </row>
    <row r="46" spans="1:6" x14ac:dyDescent="0.35">
      <c r="A46" t="s">
        <v>37</v>
      </c>
      <c r="B46" t="s">
        <v>718</v>
      </c>
      <c r="C46">
        <v>1</v>
      </c>
      <c r="D46" t="s">
        <v>722</v>
      </c>
      <c r="E46" t="s">
        <v>722</v>
      </c>
    </row>
    <row r="47" spans="1:6" x14ac:dyDescent="0.35">
      <c r="A47" t="s">
        <v>38</v>
      </c>
      <c r="B47" t="s">
        <v>718</v>
      </c>
      <c r="C47">
        <f>0.00000000254628/5.3483199147628E-10</f>
        <v>4.7608969556431795</v>
      </c>
      <c r="D47" t="s">
        <v>722</v>
      </c>
      <c r="E47" t="s">
        <v>722</v>
      </c>
      <c r="F47" t="s">
        <v>740</v>
      </c>
    </row>
    <row r="48" spans="1:6" x14ac:dyDescent="0.35">
      <c r="A48" t="s">
        <v>39</v>
      </c>
      <c r="B48" t="s">
        <v>718</v>
      </c>
      <c r="C48">
        <v>1</v>
      </c>
      <c r="D48" t="s">
        <v>722</v>
      </c>
      <c r="E48" t="s">
        <v>722</v>
      </c>
    </row>
    <row r="49" spans="1:6" x14ac:dyDescent="0.35">
      <c r="A49" t="s">
        <v>40</v>
      </c>
      <c r="B49" t="s">
        <v>718</v>
      </c>
      <c r="C49">
        <f>0.00000000254628/5.3483199147628E-10</f>
        <v>4.7608969556431795</v>
      </c>
      <c r="D49" t="s">
        <v>722</v>
      </c>
      <c r="E49" t="s">
        <v>722</v>
      </c>
      <c r="F49" t="s">
        <v>740</v>
      </c>
    </row>
    <row r="50" spans="1:6" x14ac:dyDescent="0.35">
      <c r="A50" t="s">
        <v>41</v>
      </c>
      <c r="B50" t="s">
        <v>718</v>
      </c>
      <c r="C50">
        <f>1000/5000000</f>
        <v>2.0000000000000001E-4</v>
      </c>
      <c r="D50" t="s">
        <v>722</v>
      </c>
      <c r="E50" t="s">
        <v>730</v>
      </c>
      <c r="F50" t="s">
        <v>898</v>
      </c>
    </row>
    <row r="51" spans="1:6" x14ac:dyDescent="0.35">
      <c r="A51" t="s">
        <v>41</v>
      </c>
      <c r="B51" t="s">
        <v>719</v>
      </c>
      <c r="C51">
        <f>1/33.3</f>
        <v>3.0030030030030033E-2</v>
      </c>
      <c r="D51" t="s">
        <v>721</v>
      </c>
      <c r="E51" t="s">
        <v>723</v>
      </c>
      <c r="F51" t="s">
        <v>777</v>
      </c>
    </row>
    <row r="52" spans="1:6" x14ac:dyDescent="0.35">
      <c r="A52" t="s">
        <v>42</v>
      </c>
      <c r="B52" t="s">
        <v>718</v>
      </c>
      <c r="C52">
        <f>1000/5000000</f>
        <v>2.0000000000000001E-4</v>
      </c>
      <c r="D52" t="s">
        <v>722</v>
      </c>
      <c r="E52" t="s">
        <v>730</v>
      </c>
      <c r="F52" t="s">
        <v>898</v>
      </c>
    </row>
    <row r="53" spans="1:6" x14ac:dyDescent="0.35">
      <c r="A53" t="s">
        <v>42</v>
      </c>
      <c r="B53" t="s">
        <v>719</v>
      </c>
      <c r="C53">
        <f>1/33.3</f>
        <v>3.0030030030030033E-2</v>
      </c>
      <c r="D53" t="s">
        <v>721</v>
      </c>
      <c r="E53" t="s">
        <v>723</v>
      </c>
      <c r="F53" t="s">
        <v>777</v>
      </c>
    </row>
    <row r="54" spans="1:6" x14ac:dyDescent="0.35">
      <c r="A54" t="s">
        <v>43</v>
      </c>
      <c r="B54" t="s">
        <v>718</v>
      </c>
      <c r="C54">
        <v>1</v>
      </c>
      <c r="D54" t="s">
        <v>722</v>
      </c>
      <c r="E54" t="s">
        <v>722</v>
      </c>
    </row>
    <row r="55" spans="1:6" x14ac:dyDescent="0.35">
      <c r="A55" t="s">
        <v>44</v>
      </c>
      <c r="B55" t="s">
        <v>718</v>
      </c>
      <c r="C55">
        <f>0.00000000254628/5.3483199147628E-10</f>
        <v>4.7608969556431795</v>
      </c>
      <c r="D55" t="s">
        <v>722</v>
      </c>
      <c r="E55" t="s">
        <v>722</v>
      </c>
      <c r="F55" t="s">
        <v>740</v>
      </c>
    </row>
    <row r="56" spans="1:6" x14ac:dyDescent="0.35">
      <c r="A56" t="s">
        <v>45</v>
      </c>
      <c r="B56" t="s">
        <v>718</v>
      </c>
      <c r="C56">
        <v>1</v>
      </c>
      <c r="D56" t="s">
        <v>722</v>
      </c>
      <c r="E56" t="s">
        <v>722</v>
      </c>
    </row>
    <row r="57" spans="1:6" x14ac:dyDescent="0.35">
      <c r="A57" t="s">
        <v>46</v>
      </c>
      <c r="B57" t="s">
        <v>718</v>
      </c>
      <c r="C57">
        <f>0.00000000254628/5.3483199147628E-10</f>
        <v>4.7608969556431795</v>
      </c>
      <c r="D57" t="s">
        <v>722</v>
      </c>
      <c r="E57" t="s">
        <v>722</v>
      </c>
      <c r="F57" t="s">
        <v>740</v>
      </c>
    </row>
    <row r="58" spans="1:6" x14ac:dyDescent="0.35">
      <c r="A58" t="s">
        <v>47</v>
      </c>
      <c r="B58" t="s">
        <v>718</v>
      </c>
      <c r="C58">
        <f>1000/5000000</f>
        <v>2.0000000000000001E-4</v>
      </c>
      <c r="D58" t="s">
        <v>722</v>
      </c>
      <c r="E58" t="s">
        <v>730</v>
      </c>
      <c r="F58" t="s">
        <v>898</v>
      </c>
    </row>
    <row r="59" spans="1:6" x14ac:dyDescent="0.35">
      <c r="A59" t="s">
        <v>47</v>
      </c>
      <c r="B59" t="s">
        <v>719</v>
      </c>
      <c r="C59">
        <f>1/33.3</f>
        <v>3.0030030030030033E-2</v>
      </c>
      <c r="D59" t="s">
        <v>721</v>
      </c>
      <c r="E59" t="s">
        <v>723</v>
      </c>
      <c r="F59" t="s">
        <v>777</v>
      </c>
    </row>
    <row r="60" spans="1:6" x14ac:dyDescent="0.35">
      <c r="A60" t="s">
        <v>48</v>
      </c>
      <c r="B60" t="s">
        <v>718</v>
      </c>
      <c r="C60">
        <f>1000/5000000</f>
        <v>2.0000000000000001E-4</v>
      </c>
      <c r="D60" t="s">
        <v>722</v>
      </c>
      <c r="E60" t="s">
        <v>730</v>
      </c>
      <c r="F60" t="s">
        <v>898</v>
      </c>
    </row>
    <row r="61" spans="1:6" x14ac:dyDescent="0.35">
      <c r="A61" t="s">
        <v>48</v>
      </c>
      <c r="B61" t="s">
        <v>719</v>
      </c>
      <c r="C61">
        <f>1/33.3</f>
        <v>3.0030030030030033E-2</v>
      </c>
      <c r="D61" t="s">
        <v>721</v>
      </c>
      <c r="E61" t="s">
        <v>723</v>
      </c>
      <c r="F61" t="s">
        <v>777</v>
      </c>
    </row>
    <row r="62" spans="1:6" x14ac:dyDescent="0.35">
      <c r="A62" t="s">
        <v>49</v>
      </c>
      <c r="B62" t="s">
        <v>718</v>
      </c>
      <c r="C62">
        <v>1</v>
      </c>
      <c r="D62" t="s">
        <v>722</v>
      </c>
      <c r="E62" t="s">
        <v>722</v>
      </c>
    </row>
    <row r="63" spans="1:6" x14ac:dyDescent="0.35">
      <c r="A63" t="s">
        <v>50</v>
      </c>
      <c r="B63" t="s">
        <v>718</v>
      </c>
      <c r="C63">
        <f>0.00000000254628/5.3483199147628E-10</f>
        <v>4.7608969556431795</v>
      </c>
      <c r="D63" t="s">
        <v>722</v>
      </c>
      <c r="E63" t="s">
        <v>722</v>
      </c>
      <c r="F63" t="s">
        <v>740</v>
      </c>
    </row>
    <row r="64" spans="1:6" x14ac:dyDescent="0.35">
      <c r="A64" t="s">
        <v>51</v>
      </c>
      <c r="B64" t="s">
        <v>718</v>
      </c>
      <c r="C64">
        <v>1</v>
      </c>
      <c r="D64" t="s">
        <v>722</v>
      </c>
      <c r="E64" t="s">
        <v>722</v>
      </c>
    </row>
    <row r="65" spans="1:6" x14ac:dyDescent="0.35">
      <c r="A65" t="s">
        <v>52</v>
      </c>
      <c r="B65" t="s">
        <v>718</v>
      </c>
      <c r="C65">
        <f>0.00000000254628/5.3483199147628E-10</f>
        <v>4.7608969556431795</v>
      </c>
      <c r="D65" t="s">
        <v>722</v>
      </c>
      <c r="E65" t="s">
        <v>722</v>
      </c>
      <c r="F65" t="s">
        <v>740</v>
      </c>
    </row>
    <row r="66" spans="1:6" x14ac:dyDescent="0.35">
      <c r="A66" t="s">
        <v>53</v>
      </c>
      <c r="B66" t="s">
        <v>717</v>
      </c>
      <c r="C66">
        <f>1 / 10.5</f>
        <v>9.5238095238095233E-2</v>
      </c>
      <c r="D66" t="s">
        <v>721</v>
      </c>
      <c r="E66" t="s">
        <v>723</v>
      </c>
      <c r="F66" t="s">
        <v>744</v>
      </c>
    </row>
    <row r="67" spans="1:6" x14ac:dyDescent="0.35">
      <c r="A67" t="s">
        <v>54</v>
      </c>
      <c r="B67" t="s">
        <v>718</v>
      </c>
      <c r="C67">
        <f>1 * 8760 * 0.297 / (13 * 50000)</f>
        <v>4.0026461538461532E-3</v>
      </c>
      <c r="D67" t="s">
        <v>722</v>
      </c>
      <c r="E67" t="s">
        <v>732</v>
      </c>
      <c r="F67" t="s">
        <v>745</v>
      </c>
    </row>
    <row r="68" spans="1:6" x14ac:dyDescent="0.35">
      <c r="A68" t="s">
        <v>54</v>
      </c>
      <c r="B68" t="s">
        <v>719</v>
      </c>
      <c r="C68">
        <f>1</f>
        <v>1</v>
      </c>
      <c r="D68" t="s">
        <v>725</v>
      </c>
      <c r="E68" t="s">
        <v>725</v>
      </c>
    </row>
    <row r="69" spans="1:6" x14ac:dyDescent="0.35">
      <c r="A69" t="s">
        <v>55</v>
      </c>
      <c r="B69" t="s">
        <v>718</v>
      </c>
      <c r="C69">
        <f>1 * 8760 * 0.297 / (13 * 50000)</f>
        <v>4.0026461538461532E-3</v>
      </c>
      <c r="D69" t="s">
        <v>722</v>
      </c>
      <c r="E69" t="s">
        <v>732</v>
      </c>
      <c r="F69" t="s">
        <v>745</v>
      </c>
    </row>
    <row r="70" spans="1:6" x14ac:dyDescent="0.35">
      <c r="A70" t="s">
        <v>55</v>
      </c>
      <c r="B70" t="s">
        <v>719</v>
      </c>
      <c r="C70">
        <f>1</f>
        <v>1</v>
      </c>
      <c r="D70" t="s">
        <v>725</v>
      </c>
      <c r="E70" t="s">
        <v>725</v>
      </c>
    </row>
    <row r="71" spans="1:6" x14ac:dyDescent="0.35">
      <c r="A71" t="s">
        <v>56</v>
      </c>
      <c r="B71" t="s">
        <v>718</v>
      </c>
      <c r="C71">
        <f>1 * 8760 * 0.297 / (13 * 50000)</f>
        <v>4.0026461538461532E-3</v>
      </c>
      <c r="D71" t="s">
        <v>722</v>
      </c>
      <c r="E71" t="s">
        <v>732</v>
      </c>
      <c r="F71" t="s">
        <v>745</v>
      </c>
    </row>
    <row r="72" spans="1:6" x14ac:dyDescent="0.35">
      <c r="A72" t="s">
        <v>56</v>
      </c>
      <c r="B72" t="s">
        <v>719</v>
      </c>
      <c r="C72">
        <f>1</f>
        <v>1</v>
      </c>
      <c r="D72" t="s">
        <v>725</v>
      </c>
      <c r="E72" t="s">
        <v>725</v>
      </c>
    </row>
    <row r="73" spans="1:6" x14ac:dyDescent="0.35">
      <c r="A73" t="s">
        <v>57</v>
      </c>
      <c r="B73" t="s">
        <v>718</v>
      </c>
      <c r="C73">
        <f>1 * 8760 * 0.297 / (13 * 50000)</f>
        <v>4.0026461538461532E-3</v>
      </c>
      <c r="D73" t="s">
        <v>722</v>
      </c>
      <c r="E73" t="s">
        <v>732</v>
      </c>
      <c r="F73" t="s">
        <v>745</v>
      </c>
    </row>
    <row r="74" spans="1:6" x14ac:dyDescent="0.35">
      <c r="A74" t="s">
        <v>57</v>
      </c>
      <c r="B74" t="s">
        <v>719</v>
      </c>
      <c r="C74">
        <f>1</f>
        <v>1</v>
      </c>
      <c r="D74" t="s">
        <v>725</v>
      </c>
      <c r="E74" t="s">
        <v>725</v>
      </c>
    </row>
    <row r="75" spans="1:6" x14ac:dyDescent="0.35">
      <c r="A75" t="s">
        <v>58</v>
      </c>
      <c r="B75" t="s">
        <v>718</v>
      </c>
      <c r="C75">
        <f>1 * 8760 * 0.297 / (13 * 50000)</f>
        <v>4.0026461538461532E-3</v>
      </c>
      <c r="D75" t="s">
        <v>722</v>
      </c>
      <c r="E75" t="s">
        <v>732</v>
      </c>
      <c r="F75" t="s">
        <v>745</v>
      </c>
    </row>
    <row r="76" spans="1:6" x14ac:dyDescent="0.35">
      <c r="A76" t="s">
        <v>58</v>
      </c>
      <c r="B76" t="s">
        <v>719</v>
      </c>
      <c r="C76">
        <f>1</f>
        <v>1</v>
      </c>
      <c r="D76" t="s">
        <v>725</v>
      </c>
      <c r="E76" t="s">
        <v>725</v>
      </c>
    </row>
    <row r="77" spans="1:6" x14ac:dyDescent="0.35">
      <c r="A77" t="s">
        <v>59</v>
      </c>
      <c r="B77" t="s">
        <v>718</v>
      </c>
      <c r="C77">
        <f>1 * 8760 * 0.297 / (13 * 50000)</f>
        <v>4.0026461538461532E-3</v>
      </c>
      <c r="D77" t="s">
        <v>722</v>
      </c>
      <c r="E77" t="s">
        <v>732</v>
      </c>
      <c r="F77" t="s">
        <v>745</v>
      </c>
    </row>
    <row r="78" spans="1:6" x14ac:dyDescent="0.35">
      <c r="A78" t="s">
        <v>59</v>
      </c>
      <c r="B78" t="s">
        <v>719</v>
      </c>
      <c r="C78">
        <f>1</f>
        <v>1</v>
      </c>
      <c r="D78" t="s">
        <v>725</v>
      </c>
      <c r="E78" t="s">
        <v>725</v>
      </c>
    </row>
    <row r="79" spans="1:6" x14ac:dyDescent="0.35">
      <c r="A79" t="s">
        <v>60</v>
      </c>
      <c r="B79" t="s">
        <v>718</v>
      </c>
      <c r="C79">
        <f>1 * 8760 * 0.297 / (13 * 50000)</f>
        <v>4.0026461538461532E-3</v>
      </c>
      <c r="D79" t="s">
        <v>722</v>
      </c>
      <c r="E79" t="s">
        <v>732</v>
      </c>
      <c r="F79" t="s">
        <v>745</v>
      </c>
    </row>
    <row r="80" spans="1:6" x14ac:dyDescent="0.35">
      <c r="A80" t="s">
        <v>60</v>
      </c>
      <c r="B80" t="s">
        <v>719</v>
      </c>
      <c r="C80">
        <f>1</f>
        <v>1</v>
      </c>
      <c r="D80" t="s">
        <v>725</v>
      </c>
      <c r="E80" t="s">
        <v>725</v>
      </c>
    </row>
    <row r="81" spans="1:6" x14ac:dyDescent="0.35">
      <c r="A81" t="s">
        <v>61</v>
      </c>
      <c r="B81" t="s">
        <v>718</v>
      </c>
      <c r="C81">
        <f>1 * 8760 * 0.297 / (13 * 50000)</f>
        <v>4.0026461538461532E-3</v>
      </c>
      <c r="D81" t="s">
        <v>722</v>
      </c>
      <c r="E81" t="s">
        <v>732</v>
      </c>
      <c r="F81" t="s">
        <v>745</v>
      </c>
    </row>
    <row r="82" spans="1:6" x14ac:dyDescent="0.35">
      <c r="A82" t="s">
        <v>61</v>
      </c>
      <c r="B82" t="s">
        <v>719</v>
      </c>
      <c r="C82">
        <f>1</f>
        <v>1</v>
      </c>
      <c r="D82" t="s">
        <v>725</v>
      </c>
      <c r="E82" t="s">
        <v>725</v>
      </c>
    </row>
    <row r="83" spans="1:6" x14ac:dyDescent="0.35">
      <c r="A83" t="s">
        <v>62</v>
      </c>
      <c r="B83" t="s">
        <v>718</v>
      </c>
      <c r="C83">
        <f>1 * 8760 * 0.297 / (13 * 50000)</f>
        <v>4.0026461538461532E-3</v>
      </c>
      <c r="D83" t="s">
        <v>722</v>
      </c>
      <c r="E83" t="s">
        <v>732</v>
      </c>
      <c r="F83" t="s">
        <v>745</v>
      </c>
    </row>
    <row r="84" spans="1:6" x14ac:dyDescent="0.35">
      <c r="A84" t="s">
        <v>62</v>
      </c>
      <c r="B84" t="s">
        <v>719</v>
      </c>
      <c r="C84">
        <f>1</f>
        <v>1</v>
      </c>
      <c r="D84" t="s">
        <v>725</v>
      </c>
      <c r="E84" t="s">
        <v>725</v>
      </c>
    </row>
    <row r="85" spans="1:6" x14ac:dyDescent="0.35">
      <c r="A85" t="s">
        <v>63</v>
      </c>
      <c r="B85" t="s">
        <v>718</v>
      </c>
      <c r="C85">
        <f>1 * 8760 * 0.051 / (1.23 * 12000)</f>
        <v>3.0268292682926828E-2</v>
      </c>
      <c r="D85" t="s">
        <v>722</v>
      </c>
      <c r="E85" t="s">
        <v>732</v>
      </c>
      <c r="F85" t="s">
        <v>746</v>
      </c>
    </row>
    <row r="86" spans="1:6" x14ac:dyDescent="0.35">
      <c r="A86" t="s">
        <v>63</v>
      </c>
      <c r="B86" t="s">
        <v>719</v>
      </c>
      <c r="C86">
        <f>1/1.23</f>
        <v>0.81300813008130079</v>
      </c>
      <c r="D86" t="s">
        <v>726</v>
      </c>
      <c r="E86" t="s">
        <v>725</v>
      </c>
      <c r="F86" t="s">
        <v>879</v>
      </c>
    </row>
    <row r="87" spans="1:6" x14ac:dyDescent="0.35">
      <c r="A87" t="s">
        <v>64</v>
      </c>
      <c r="B87" t="s">
        <v>718</v>
      </c>
      <c r="C87">
        <f>1 * 8760 * 0.051 / (1.23 * 12000)</f>
        <v>3.0268292682926828E-2</v>
      </c>
      <c r="D87" t="s">
        <v>722</v>
      </c>
      <c r="E87" t="s">
        <v>732</v>
      </c>
      <c r="F87" t="s">
        <v>746</v>
      </c>
    </row>
    <row r="88" spans="1:6" x14ac:dyDescent="0.35">
      <c r="A88" t="s">
        <v>64</v>
      </c>
      <c r="B88" t="s">
        <v>719</v>
      </c>
      <c r="C88">
        <f>1/1.23</f>
        <v>0.81300813008130079</v>
      </c>
      <c r="D88" t="s">
        <v>726</v>
      </c>
      <c r="E88" t="s">
        <v>725</v>
      </c>
      <c r="F88" t="s">
        <v>879</v>
      </c>
    </row>
    <row r="89" spans="1:6" x14ac:dyDescent="0.35">
      <c r="A89" t="s">
        <v>65</v>
      </c>
      <c r="B89" t="s">
        <v>718</v>
      </c>
      <c r="C89">
        <f>1 * 8760 * 0.051 / (1.23 * 12000)</f>
        <v>3.0268292682926828E-2</v>
      </c>
      <c r="D89" t="s">
        <v>722</v>
      </c>
      <c r="E89" t="s">
        <v>732</v>
      </c>
      <c r="F89" t="s">
        <v>746</v>
      </c>
    </row>
    <row r="90" spans="1:6" x14ac:dyDescent="0.35">
      <c r="A90" t="s">
        <v>65</v>
      </c>
      <c r="B90" t="s">
        <v>719</v>
      </c>
      <c r="C90">
        <f>1/1.23</f>
        <v>0.81300813008130079</v>
      </c>
      <c r="D90" t="s">
        <v>726</v>
      </c>
      <c r="E90" t="s">
        <v>725</v>
      </c>
      <c r="F90" t="s">
        <v>879</v>
      </c>
    </row>
    <row r="91" spans="1:6" x14ac:dyDescent="0.35">
      <c r="A91" t="s">
        <v>66</v>
      </c>
      <c r="B91" t="s">
        <v>718</v>
      </c>
      <c r="C91">
        <f>1 * 8760 * 0.051 / (1.23 * 12000)</f>
        <v>3.0268292682926828E-2</v>
      </c>
      <c r="D91" t="s">
        <v>722</v>
      </c>
      <c r="E91" t="s">
        <v>732</v>
      </c>
      <c r="F91" t="s">
        <v>746</v>
      </c>
    </row>
    <row r="92" spans="1:6" x14ac:dyDescent="0.35">
      <c r="A92" t="s">
        <v>66</v>
      </c>
      <c r="B92" t="s">
        <v>719</v>
      </c>
      <c r="C92">
        <f>1/1.23</f>
        <v>0.81300813008130079</v>
      </c>
      <c r="D92" t="s">
        <v>726</v>
      </c>
      <c r="E92" t="s">
        <v>725</v>
      </c>
      <c r="F92" t="s">
        <v>879</v>
      </c>
    </row>
    <row r="93" spans="1:6" x14ac:dyDescent="0.35">
      <c r="A93" t="s">
        <v>67</v>
      </c>
      <c r="B93" t="s">
        <v>718</v>
      </c>
      <c r="C93">
        <f>1 * 8760 * 0.051 / (1.23 * 12000)</f>
        <v>3.0268292682926828E-2</v>
      </c>
      <c r="D93" t="s">
        <v>722</v>
      </c>
      <c r="E93" t="s">
        <v>732</v>
      </c>
      <c r="F93" t="s">
        <v>746</v>
      </c>
    </row>
    <row r="94" spans="1:6" x14ac:dyDescent="0.35">
      <c r="A94" t="s">
        <v>67</v>
      </c>
      <c r="B94" t="s">
        <v>719</v>
      </c>
      <c r="C94">
        <f>1/1.23</f>
        <v>0.81300813008130079</v>
      </c>
      <c r="D94" t="s">
        <v>726</v>
      </c>
      <c r="E94" t="s">
        <v>725</v>
      </c>
      <c r="F94" t="s">
        <v>879</v>
      </c>
    </row>
    <row r="95" spans="1:6" x14ac:dyDescent="0.35">
      <c r="A95" t="s">
        <v>68</v>
      </c>
      <c r="B95" t="s">
        <v>718</v>
      </c>
      <c r="C95">
        <f>1 * 8760 * 0.051 / (1.23 * 12000)</f>
        <v>3.0268292682926828E-2</v>
      </c>
      <c r="D95" t="s">
        <v>722</v>
      </c>
      <c r="E95" t="s">
        <v>732</v>
      </c>
      <c r="F95" t="s">
        <v>746</v>
      </c>
    </row>
    <row r="96" spans="1:6" x14ac:dyDescent="0.35">
      <c r="A96" t="s">
        <v>68</v>
      </c>
      <c r="B96" t="s">
        <v>719</v>
      </c>
      <c r="C96">
        <f>1/1.23</f>
        <v>0.81300813008130079</v>
      </c>
      <c r="D96" t="s">
        <v>726</v>
      </c>
      <c r="E96" t="s">
        <v>725</v>
      </c>
      <c r="F96" t="s">
        <v>879</v>
      </c>
    </row>
    <row r="97" spans="1:6" x14ac:dyDescent="0.35">
      <c r="A97" t="s">
        <v>69</v>
      </c>
      <c r="B97" t="s">
        <v>718</v>
      </c>
      <c r="C97">
        <f>1 * 8760 * 0.051 / (1.23 * 12000)</f>
        <v>3.0268292682926828E-2</v>
      </c>
      <c r="D97" t="s">
        <v>722</v>
      </c>
      <c r="E97" t="s">
        <v>732</v>
      </c>
      <c r="F97" t="s">
        <v>746</v>
      </c>
    </row>
    <row r="98" spans="1:6" x14ac:dyDescent="0.35">
      <c r="A98" t="s">
        <v>69</v>
      </c>
      <c r="B98" t="s">
        <v>719</v>
      </c>
      <c r="C98">
        <f>1/1.23</f>
        <v>0.81300813008130079</v>
      </c>
      <c r="D98" t="s">
        <v>726</v>
      </c>
      <c r="E98" t="s">
        <v>725</v>
      </c>
      <c r="F98" t="s">
        <v>879</v>
      </c>
    </row>
    <row r="99" spans="1:6" x14ac:dyDescent="0.35">
      <c r="A99" t="s">
        <v>70</v>
      </c>
      <c r="B99" t="s">
        <v>718</v>
      </c>
      <c r="C99">
        <f>1 * 8760 * 0.051 / (1.23 * 12000)</f>
        <v>3.0268292682926828E-2</v>
      </c>
      <c r="D99" t="s">
        <v>722</v>
      </c>
      <c r="E99" t="s">
        <v>732</v>
      </c>
      <c r="F99" t="s">
        <v>746</v>
      </c>
    </row>
    <row r="100" spans="1:6" x14ac:dyDescent="0.35">
      <c r="A100" t="s">
        <v>70</v>
      </c>
      <c r="B100" t="s">
        <v>719</v>
      </c>
      <c r="C100">
        <f>1/1.23</f>
        <v>0.81300813008130079</v>
      </c>
      <c r="D100" t="s">
        <v>726</v>
      </c>
      <c r="E100" t="s">
        <v>725</v>
      </c>
      <c r="F100" t="s">
        <v>879</v>
      </c>
    </row>
    <row r="101" spans="1:6" x14ac:dyDescent="0.35">
      <c r="A101" t="s">
        <v>71</v>
      </c>
      <c r="B101" t="s">
        <v>718</v>
      </c>
      <c r="C101">
        <f>1 * 8760 * 0.051 / (1.23 * 12000)</f>
        <v>3.0268292682926828E-2</v>
      </c>
      <c r="D101" t="s">
        <v>722</v>
      </c>
      <c r="E101" t="s">
        <v>732</v>
      </c>
      <c r="F101" t="s">
        <v>746</v>
      </c>
    </row>
    <row r="102" spans="1:6" x14ac:dyDescent="0.35">
      <c r="A102" t="s">
        <v>71</v>
      </c>
      <c r="B102" t="s">
        <v>719</v>
      </c>
      <c r="C102">
        <f>1/1.23</f>
        <v>0.81300813008130079</v>
      </c>
      <c r="D102" t="s">
        <v>726</v>
      </c>
      <c r="E102" t="s">
        <v>725</v>
      </c>
      <c r="F102" t="s">
        <v>879</v>
      </c>
    </row>
    <row r="103" spans="1:6" x14ac:dyDescent="0.35">
      <c r="A103" t="s">
        <v>72</v>
      </c>
      <c r="B103" t="s">
        <v>718</v>
      </c>
      <c r="C103">
        <f>1 * 8760 * 0.051 / (1.23 * 12000)</f>
        <v>3.0268292682926828E-2</v>
      </c>
      <c r="D103" t="s">
        <v>722</v>
      </c>
      <c r="E103" t="s">
        <v>732</v>
      </c>
      <c r="F103" t="s">
        <v>746</v>
      </c>
    </row>
    <row r="104" spans="1:6" x14ac:dyDescent="0.35">
      <c r="A104" t="s">
        <v>72</v>
      </c>
      <c r="B104" t="s">
        <v>719</v>
      </c>
      <c r="C104">
        <f>1/1.23</f>
        <v>0.81300813008130079</v>
      </c>
      <c r="D104" t="s">
        <v>726</v>
      </c>
      <c r="E104" t="s">
        <v>725</v>
      </c>
      <c r="F104" t="s">
        <v>879</v>
      </c>
    </row>
    <row r="105" spans="1:6" x14ac:dyDescent="0.35">
      <c r="A105" t="s">
        <v>73</v>
      </c>
      <c r="B105" t="s">
        <v>718</v>
      </c>
      <c r="C105">
        <f>1 * 8760 * 0.051 / (1.23 * 12000)</f>
        <v>3.0268292682926828E-2</v>
      </c>
      <c r="D105" t="s">
        <v>722</v>
      </c>
      <c r="E105" t="s">
        <v>732</v>
      </c>
      <c r="F105" t="s">
        <v>746</v>
      </c>
    </row>
    <row r="106" spans="1:6" x14ac:dyDescent="0.35">
      <c r="A106" t="s">
        <v>73</v>
      </c>
      <c r="B106" t="s">
        <v>719</v>
      </c>
      <c r="C106">
        <f>1/1.23</f>
        <v>0.81300813008130079</v>
      </c>
      <c r="D106" t="s">
        <v>726</v>
      </c>
      <c r="E106" t="s">
        <v>725</v>
      </c>
      <c r="F106" t="s">
        <v>879</v>
      </c>
    </row>
    <row r="107" spans="1:6" x14ac:dyDescent="0.35">
      <c r="A107" t="s">
        <v>74</v>
      </c>
      <c r="B107" t="s">
        <v>718</v>
      </c>
      <c r="C107">
        <f>1 * 8760 * 0.051 / (1.23 * 12000)</f>
        <v>3.0268292682926828E-2</v>
      </c>
      <c r="D107" t="s">
        <v>722</v>
      </c>
      <c r="E107" t="s">
        <v>732</v>
      </c>
      <c r="F107" t="s">
        <v>746</v>
      </c>
    </row>
    <row r="108" spans="1:6" x14ac:dyDescent="0.35">
      <c r="A108" t="s">
        <v>74</v>
      </c>
      <c r="B108" t="s">
        <v>719</v>
      </c>
      <c r="C108">
        <f>1/1.23</f>
        <v>0.81300813008130079</v>
      </c>
      <c r="D108" t="s">
        <v>726</v>
      </c>
      <c r="E108" t="s">
        <v>725</v>
      </c>
      <c r="F108" t="s">
        <v>879</v>
      </c>
    </row>
    <row r="109" spans="1:6" x14ac:dyDescent="0.35">
      <c r="A109" t="s">
        <v>75</v>
      </c>
      <c r="B109" t="s">
        <v>718</v>
      </c>
      <c r="C109">
        <f>1 * 8760 * 0.051 / (1.23 * 12000)</f>
        <v>3.0268292682926828E-2</v>
      </c>
      <c r="D109" t="s">
        <v>722</v>
      </c>
      <c r="E109" t="s">
        <v>732</v>
      </c>
      <c r="F109" t="s">
        <v>746</v>
      </c>
    </row>
    <row r="110" spans="1:6" x14ac:dyDescent="0.35">
      <c r="A110" t="s">
        <v>75</v>
      </c>
      <c r="B110" t="s">
        <v>719</v>
      </c>
      <c r="C110">
        <f>1/1.23</f>
        <v>0.81300813008130079</v>
      </c>
      <c r="D110" t="s">
        <v>726</v>
      </c>
      <c r="E110" t="s">
        <v>725</v>
      </c>
      <c r="F110" t="s">
        <v>879</v>
      </c>
    </row>
    <row r="111" spans="1:6" x14ac:dyDescent="0.35">
      <c r="A111" t="s">
        <v>76</v>
      </c>
      <c r="B111" t="s">
        <v>718</v>
      </c>
      <c r="C111">
        <f>1 * 8760 * 0.051 / (1.23 * 12000)</f>
        <v>3.0268292682926828E-2</v>
      </c>
      <c r="D111" t="s">
        <v>722</v>
      </c>
      <c r="E111" t="s">
        <v>732</v>
      </c>
      <c r="F111" t="s">
        <v>746</v>
      </c>
    </row>
    <row r="112" spans="1:6" x14ac:dyDescent="0.35">
      <c r="A112" t="s">
        <v>76</v>
      </c>
      <c r="B112" t="s">
        <v>719</v>
      </c>
      <c r="C112">
        <f>1/1.23</f>
        <v>0.81300813008130079</v>
      </c>
      <c r="D112" t="s">
        <v>726</v>
      </c>
      <c r="E112" t="s">
        <v>725</v>
      </c>
      <c r="F112" t="s">
        <v>879</v>
      </c>
    </row>
    <row r="113" spans="1:6" x14ac:dyDescent="0.35">
      <c r="A113" t="s">
        <v>77</v>
      </c>
      <c r="B113" t="s">
        <v>718</v>
      </c>
      <c r="C113">
        <f>1 * 8760 * 0.051 / (1.23 * 12000)</f>
        <v>3.0268292682926828E-2</v>
      </c>
      <c r="D113" t="s">
        <v>722</v>
      </c>
      <c r="E113" t="s">
        <v>732</v>
      </c>
      <c r="F113" t="s">
        <v>746</v>
      </c>
    </row>
    <row r="114" spans="1:6" x14ac:dyDescent="0.35">
      <c r="A114" t="s">
        <v>77</v>
      </c>
      <c r="B114" t="s">
        <v>719</v>
      </c>
      <c r="C114">
        <f>1/1.23</f>
        <v>0.81300813008130079</v>
      </c>
      <c r="D114" t="s">
        <v>726</v>
      </c>
      <c r="E114" t="s">
        <v>725</v>
      </c>
      <c r="F114" t="s">
        <v>879</v>
      </c>
    </row>
    <row r="115" spans="1:6" x14ac:dyDescent="0.35">
      <c r="A115" t="s">
        <v>78</v>
      </c>
      <c r="B115" t="s">
        <v>718</v>
      </c>
      <c r="C115">
        <f>1 * 8760 * 0.051 / (1.23 * 12000)</f>
        <v>3.0268292682926828E-2</v>
      </c>
      <c r="D115" t="s">
        <v>722</v>
      </c>
      <c r="E115" t="s">
        <v>732</v>
      </c>
      <c r="F115" t="s">
        <v>746</v>
      </c>
    </row>
    <row r="116" spans="1:6" x14ac:dyDescent="0.35">
      <c r="A116" t="s">
        <v>78</v>
      </c>
      <c r="B116" t="s">
        <v>719</v>
      </c>
      <c r="C116">
        <f>1/1.23</f>
        <v>0.81300813008130079</v>
      </c>
      <c r="D116" t="s">
        <v>726</v>
      </c>
      <c r="E116" t="s">
        <v>725</v>
      </c>
      <c r="F116" t="s">
        <v>879</v>
      </c>
    </row>
    <row r="117" spans="1:6" x14ac:dyDescent="0.35">
      <c r="A117" t="s">
        <v>79</v>
      </c>
      <c r="B117" t="s">
        <v>718</v>
      </c>
      <c r="C117">
        <f>1 * 8760 * 0.051 / (1.23 * 12000)</f>
        <v>3.0268292682926828E-2</v>
      </c>
      <c r="D117" t="s">
        <v>722</v>
      </c>
      <c r="E117" t="s">
        <v>732</v>
      </c>
      <c r="F117" t="s">
        <v>746</v>
      </c>
    </row>
    <row r="118" spans="1:6" x14ac:dyDescent="0.35">
      <c r="A118" t="s">
        <v>79</v>
      </c>
      <c r="B118" t="s">
        <v>719</v>
      </c>
      <c r="C118">
        <f>1/1.23</f>
        <v>0.81300813008130079</v>
      </c>
      <c r="D118" t="s">
        <v>726</v>
      </c>
      <c r="E118" t="s">
        <v>725</v>
      </c>
      <c r="F118" t="s">
        <v>879</v>
      </c>
    </row>
    <row r="119" spans="1:6" x14ac:dyDescent="0.35">
      <c r="A119" t="s">
        <v>80</v>
      </c>
      <c r="B119" t="s">
        <v>718</v>
      </c>
      <c r="C119">
        <f>1 * 8760 * 0.051 / (1.23 * 12000)</f>
        <v>3.0268292682926828E-2</v>
      </c>
      <c r="D119" t="s">
        <v>722</v>
      </c>
      <c r="E119" t="s">
        <v>732</v>
      </c>
      <c r="F119" t="s">
        <v>746</v>
      </c>
    </row>
    <row r="120" spans="1:6" x14ac:dyDescent="0.35">
      <c r="A120" t="s">
        <v>80</v>
      </c>
      <c r="B120" t="s">
        <v>719</v>
      </c>
      <c r="C120">
        <f>1/1.23</f>
        <v>0.81300813008130079</v>
      </c>
      <c r="D120" t="s">
        <v>726</v>
      </c>
      <c r="E120" t="s">
        <v>725</v>
      </c>
      <c r="F120" t="s">
        <v>879</v>
      </c>
    </row>
    <row r="121" spans="1:6" x14ac:dyDescent="0.35">
      <c r="A121" t="s">
        <v>81</v>
      </c>
      <c r="B121" t="s">
        <v>718</v>
      </c>
      <c r="C121">
        <f>1 * 8760 * 0.051 / (1.23 * 12000)</f>
        <v>3.0268292682926828E-2</v>
      </c>
      <c r="D121" t="s">
        <v>722</v>
      </c>
      <c r="E121" t="s">
        <v>732</v>
      </c>
      <c r="F121" t="s">
        <v>746</v>
      </c>
    </row>
    <row r="122" spans="1:6" x14ac:dyDescent="0.35">
      <c r="A122" t="s">
        <v>81</v>
      </c>
      <c r="B122" t="s">
        <v>719</v>
      </c>
      <c r="C122">
        <f>1/1.23</f>
        <v>0.81300813008130079</v>
      </c>
      <c r="D122" t="s">
        <v>726</v>
      </c>
      <c r="E122" t="s">
        <v>725</v>
      </c>
      <c r="F122" t="s">
        <v>879</v>
      </c>
    </row>
    <row r="123" spans="1:6" x14ac:dyDescent="0.35">
      <c r="A123" t="s">
        <v>82</v>
      </c>
      <c r="B123" t="s">
        <v>718</v>
      </c>
      <c r="C123">
        <f>1 * 8760 * 0.051 / (1.23 * 12000)</f>
        <v>3.0268292682926828E-2</v>
      </c>
      <c r="D123" t="s">
        <v>722</v>
      </c>
      <c r="E123" t="s">
        <v>732</v>
      </c>
      <c r="F123" t="s">
        <v>746</v>
      </c>
    </row>
    <row r="124" spans="1:6" x14ac:dyDescent="0.35">
      <c r="A124" t="s">
        <v>82</v>
      </c>
      <c r="B124" t="s">
        <v>719</v>
      </c>
      <c r="C124">
        <f>1/1.23</f>
        <v>0.81300813008130079</v>
      </c>
      <c r="D124" t="s">
        <v>726</v>
      </c>
      <c r="E124" t="s">
        <v>725</v>
      </c>
      <c r="F124" t="s">
        <v>879</v>
      </c>
    </row>
    <row r="125" spans="1:6" x14ac:dyDescent="0.35">
      <c r="A125" t="s">
        <v>83</v>
      </c>
      <c r="B125" t="s">
        <v>718</v>
      </c>
      <c r="C125">
        <f>1 * 8760 * 0.051 / (1.23 * 12000)</f>
        <v>3.0268292682926828E-2</v>
      </c>
      <c r="D125" t="s">
        <v>722</v>
      </c>
      <c r="E125" t="s">
        <v>732</v>
      </c>
      <c r="F125" t="s">
        <v>746</v>
      </c>
    </row>
    <row r="126" spans="1:6" x14ac:dyDescent="0.35">
      <c r="A126" t="s">
        <v>83</v>
      </c>
      <c r="B126" t="s">
        <v>719</v>
      </c>
      <c r="C126">
        <f>1/1.23</f>
        <v>0.81300813008130079</v>
      </c>
      <c r="D126" t="s">
        <v>726</v>
      </c>
      <c r="E126" t="s">
        <v>725</v>
      </c>
      <c r="F126" t="s">
        <v>879</v>
      </c>
    </row>
    <row r="127" spans="1:6" x14ac:dyDescent="0.35">
      <c r="A127" t="s">
        <v>84</v>
      </c>
      <c r="B127" t="s">
        <v>718</v>
      </c>
      <c r="C127">
        <f>1 * 8760 * 0.051 / (1.23 * 12000)</f>
        <v>3.0268292682926828E-2</v>
      </c>
      <c r="D127" t="s">
        <v>722</v>
      </c>
      <c r="E127" t="s">
        <v>732</v>
      </c>
      <c r="F127" t="s">
        <v>746</v>
      </c>
    </row>
    <row r="128" spans="1:6" x14ac:dyDescent="0.35">
      <c r="A128" t="s">
        <v>84</v>
      </c>
      <c r="B128" t="s">
        <v>719</v>
      </c>
      <c r="C128">
        <f>1/1.23</f>
        <v>0.81300813008130079</v>
      </c>
      <c r="D128" t="s">
        <v>726</v>
      </c>
      <c r="E128" t="s">
        <v>725</v>
      </c>
      <c r="F128" t="s">
        <v>879</v>
      </c>
    </row>
    <row r="129" spans="1:6" x14ac:dyDescent="0.35">
      <c r="A129" t="s">
        <v>85</v>
      </c>
      <c r="B129" t="s">
        <v>718</v>
      </c>
      <c r="C129">
        <f>1 * 8760 * 0.051 / (1.23 * 12000)</f>
        <v>3.0268292682926828E-2</v>
      </c>
      <c r="D129" t="s">
        <v>722</v>
      </c>
      <c r="E129" t="s">
        <v>732</v>
      </c>
      <c r="F129" t="s">
        <v>746</v>
      </c>
    </row>
    <row r="130" spans="1:6" x14ac:dyDescent="0.35">
      <c r="A130" t="s">
        <v>85</v>
      </c>
      <c r="B130" t="s">
        <v>719</v>
      </c>
      <c r="C130">
        <f>1/1.23</f>
        <v>0.81300813008130079</v>
      </c>
      <c r="D130" t="s">
        <v>726</v>
      </c>
      <c r="E130" t="s">
        <v>725</v>
      </c>
      <c r="F130" t="s">
        <v>879</v>
      </c>
    </row>
    <row r="131" spans="1:6" x14ac:dyDescent="0.35">
      <c r="A131" t="s">
        <v>86</v>
      </c>
      <c r="B131" t="s">
        <v>718</v>
      </c>
      <c r="C131">
        <f>1 * 8760 * 0.051 / (1.23 * 12000)</f>
        <v>3.0268292682926828E-2</v>
      </c>
      <c r="D131" t="s">
        <v>722</v>
      </c>
      <c r="E131" t="s">
        <v>732</v>
      </c>
      <c r="F131" t="s">
        <v>746</v>
      </c>
    </row>
    <row r="132" spans="1:6" x14ac:dyDescent="0.35">
      <c r="A132" t="s">
        <v>86</v>
      </c>
      <c r="B132" t="s">
        <v>719</v>
      </c>
      <c r="C132">
        <f>1/1.23</f>
        <v>0.81300813008130079</v>
      </c>
      <c r="D132" t="s">
        <v>726</v>
      </c>
      <c r="E132" t="s">
        <v>725</v>
      </c>
      <c r="F132" t="s">
        <v>879</v>
      </c>
    </row>
    <row r="133" spans="1:6" x14ac:dyDescent="0.35">
      <c r="A133" t="s">
        <v>87</v>
      </c>
      <c r="B133" t="s">
        <v>718</v>
      </c>
      <c r="C133">
        <f>1 * 8760 * 0.051 / (1.23 * 12000)</f>
        <v>3.0268292682926828E-2</v>
      </c>
      <c r="D133" t="s">
        <v>722</v>
      </c>
      <c r="E133" t="s">
        <v>732</v>
      </c>
      <c r="F133" t="s">
        <v>746</v>
      </c>
    </row>
    <row r="134" spans="1:6" x14ac:dyDescent="0.35">
      <c r="A134" t="s">
        <v>87</v>
      </c>
      <c r="B134" t="s">
        <v>719</v>
      </c>
      <c r="C134">
        <f>1/1.23</f>
        <v>0.81300813008130079</v>
      </c>
      <c r="D134" t="s">
        <v>726</v>
      </c>
      <c r="E134" t="s">
        <v>725</v>
      </c>
      <c r="F134" t="s">
        <v>879</v>
      </c>
    </row>
    <row r="135" spans="1:6" x14ac:dyDescent="0.35">
      <c r="A135" t="s">
        <v>88</v>
      </c>
      <c r="B135" t="s">
        <v>718</v>
      </c>
      <c r="C135">
        <f>1 * 8760 * 0.051 / (1.23 * 12000)</f>
        <v>3.0268292682926828E-2</v>
      </c>
      <c r="D135" t="s">
        <v>722</v>
      </c>
      <c r="E135" t="s">
        <v>732</v>
      </c>
      <c r="F135" t="s">
        <v>746</v>
      </c>
    </row>
    <row r="136" spans="1:6" x14ac:dyDescent="0.35">
      <c r="A136" t="s">
        <v>88</v>
      </c>
      <c r="B136" t="s">
        <v>719</v>
      </c>
      <c r="C136">
        <f>1/1.23</f>
        <v>0.81300813008130079</v>
      </c>
      <c r="D136" t="s">
        <v>726</v>
      </c>
      <c r="E136" t="s">
        <v>725</v>
      </c>
      <c r="F136" t="s">
        <v>879</v>
      </c>
    </row>
    <row r="137" spans="1:6" x14ac:dyDescent="0.35">
      <c r="A137" t="s">
        <v>89</v>
      </c>
      <c r="B137" t="s">
        <v>718</v>
      </c>
      <c r="C137">
        <f>1 * 8760 * 0.051 / (1.23 * 12000)</f>
        <v>3.0268292682926828E-2</v>
      </c>
      <c r="D137" t="s">
        <v>722</v>
      </c>
      <c r="E137" t="s">
        <v>732</v>
      </c>
      <c r="F137" t="s">
        <v>746</v>
      </c>
    </row>
    <row r="138" spans="1:6" x14ac:dyDescent="0.35">
      <c r="A138" t="s">
        <v>89</v>
      </c>
      <c r="B138" t="s">
        <v>719</v>
      </c>
      <c r="C138">
        <f>1/1.23</f>
        <v>0.81300813008130079</v>
      </c>
      <c r="D138" t="s">
        <v>726</v>
      </c>
      <c r="E138" t="s">
        <v>725</v>
      </c>
      <c r="F138" t="s">
        <v>879</v>
      </c>
    </row>
    <row r="139" spans="1:6" x14ac:dyDescent="0.35">
      <c r="A139" t="s">
        <v>90</v>
      </c>
      <c r="B139" t="s">
        <v>718</v>
      </c>
      <c r="C139">
        <f>1 * 8760 * 0.051 / (1.23 * 12000)</f>
        <v>3.0268292682926828E-2</v>
      </c>
      <c r="D139" t="s">
        <v>722</v>
      </c>
      <c r="E139" t="s">
        <v>732</v>
      </c>
      <c r="F139" t="s">
        <v>746</v>
      </c>
    </row>
    <row r="140" spans="1:6" x14ac:dyDescent="0.35">
      <c r="A140" t="s">
        <v>90</v>
      </c>
      <c r="B140" t="s">
        <v>719</v>
      </c>
      <c r="C140">
        <f>1/1.23</f>
        <v>0.81300813008130079</v>
      </c>
      <c r="D140" t="s">
        <v>726</v>
      </c>
      <c r="E140" t="s">
        <v>725</v>
      </c>
      <c r="F140" t="s">
        <v>879</v>
      </c>
    </row>
    <row r="141" spans="1:6" x14ac:dyDescent="0.35">
      <c r="A141" t="s">
        <v>91</v>
      </c>
      <c r="B141" t="s">
        <v>718</v>
      </c>
      <c r="C141">
        <f>1 * 8760 * 0.051 / (1.23 * 12000)</f>
        <v>3.0268292682926828E-2</v>
      </c>
      <c r="D141" t="s">
        <v>722</v>
      </c>
      <c r="E141" t="s">
        <v>732</v>
      </c>
      <c r="F141" t="s">
        <v>746</v>
      </c>
    </row>
    <row r="142" spans="1:6" x14ac:dyDescent="0.35">
      <c r="A142" t="s">
        <v>91</v>
      </c>
      <c r="B142" t="s">
        <v>719</v>
      </c>
      <c r="C142">
        <f>1/1.23</f>
        <v>0.81300813008130079</v>
      </c>
      <c r="D142" t="s">
        <v>726</v>
      </c>
      <c r="E142" t="s">
        <v>725</v>
      </c>
      <c r="F142" t="s">
        <v>879</v>
      </c>
    </row>
    <row r="143" spans="1:6" x14ac:dyDescent="0.35">
      <c r="A143" t="s">
        <v>92</v>
      </c>
      <c r="B143" t="s">
        <v>718</v>
      </c>
      <c r="C143">
        <f>1 * 8760 * 0.051 / (1.23 * 12000)</f>
        <v>3.0268292682926828E-2</v>
      </c>
      <c r="D143" t="s">
        <v>722</v>
      </c>
      <c r="E143" t="s">
        <v>732</v>
      </c>
      <c r="F143" t="s">
        <v>746</v>
      </c>
    </row>
    <row r="144" spans="1:6" x14ac:dyDescent="0.35">
      <c r="A144" t="s">
        <v>92</v>
      </c>
      <c r="B144" t="s">
        <v>719</v>
      </c>
      <c r="C144">
        <f>1/1.23</f>
        <v>0.81300813008130079</v>
      </c>
      <c r="D144" t="s">
        <v>726</v>
      </c>
      <c r="E144" t="s">
        <v>725</v>
      </c>
      <c r="F144" t="s">
        <v>879</v>
      </c>
    </row>
    <row r="145" spans="1:6" x14ac:dyDescent="0.35">
      <c r="A145" t="s">
        <v>93</v>
      </c>
      <c r="B145" t="s">
        <v>718</v>
      </c>
      <c r="C145">
        <f>1 * 8760 * 0.051 / (1.23 * 12000)</f>
        <v>3.0268292682926828E-2</v>
      </c>
      <c r="D145" t="s">
        <v>722</v>
      </c>
      <c r="E145" t="s">
        <v>732</v>
      </c>
      <c r="F145" t="s">
        <v>746</v>
      </c>
    </row>
    <row r="146" spans="1:6" x14ac:dyDescent="0.35">
      <c r="A146" t="s">
        <v>93</v>
      </c>
      <c r="B146" t="s">
        <v>719</v>
      </c>
      <c r="C146">
        <f>1/1.23</f>
        <v>0.81300813008130079</v>
      </c>
      <c r="D146" t="s">
        <v>726</v>
      </c>
      <c r="E146" t="s">
        <v>725</v>
      </c>
      <c r="F146" t="s">
        <v>879</v>
      </c>
    </row>
    <row r="147" spans="1:6" x14ac:dyDescent="0.35">
      <c r="A147" t="s">
        <v>94</v>
      </c>
      <c r="B147" t="s">
        <v>718</v>
      </c>
      <c r="C147">
        <f>1 * 8760 * 0.051 / (1.23 * 12000)</f>
        <v>3.0268292682926828E-2</v>
      </c>
      <c r="D147" t="s">
        <v>722</v>
      </c>
      <c r="E147" t="s">
        <v>732</v>
      </c>
      <c r="F147" t="s">
        <v>746</v>
      </c>
    </row>
    <row r="148" spans="1:6" x14ac:dyDescent="0.35">
      <c r="A148" t="s">
        <v>94</v>
      </c>
      <c r="B148" t="s">
        <v>719</v>
      </c>
      <c r="C148">
        <f>1/1.23</f>
        <v>0.81300813008130079</v>
      </c>
      <c r="D148" t="s">
        <v>726</v>
      </c>
      <c r="E148" t="s">
        <v>725</v>
      </c>
      <c r="F148" t="s">
        <v>879</v>
      </c>
    </row>
    <row r="149" spans="1:6" x14ac:dyDescent="0.35">
      <c r="A149" t="s">
        <v>95</v>
      </c>
      <c r="B149" t="s">
        <v>718</v>
      </c>
      <c r="C149">
        <f>1 * 8760 * 0.051 / (1.23 * 12000)</f>
        <v>3.0268292682926828E-2</v>
      </c>
      <c r="D149" t="s">
        <v>722</v>
      </c>
      <c r="E149" t="s">
        <v>732</v>
      </c>
      <c r="F149" t="s">
        <v>746</v>
      </c>
    </row>
    <row r="150" spans="1:6" x14ac:dyDescent="0.35">
      <c r="A150" t="s">
        <v>95</v>
      </c>
      <c r="B150" t="s">
        <v>719</v>
      </c>
      <c r="C150">
        <f>1/1.23</f>
        <v>0.81300813008130079</v>
      </c>
      <c r="D150" t="s">
        <v>726</v>
      </c>
      <c r="E150" t="s">
        <v>725</v>
      </c>
      <c r="F150" t="s">
        <v>879</v>
      </c>
    </row>
    <row r="151" spans="1:6" x14ac:dyDescent="0.35">
      <c r="A151" t="s">
        <v>96</v>
      </c>
      <c r="B151" t="s">
        <v>718</v>
      </c>
      <c r="C151">
        <f>1 * 8760 * 0.051 / (1.23 * 12000)</f>
        <v>3.0268292682926828E-2</v>
      </c>
      <c r="D151" t="s">
        <v>722</v>
      </c>
      <c r="E151" t="s">
        <v>732</v>
      </c>
      <c r="F151" t="s">
        <v>746</v>
      </c>
    </row>
    <row r="152" spans="1:6" x14ac:dyDescent="0.35">
      <c r="A152" t="s">
        <v>96</v>
      </c>
      <c r="B152" t="s">
        <v>719</v>
      </c>
      <c r="C152">
        <f>1/1.23</f>
        <v>0.81300813008130079</v>
      </c>
      <c r="D152" t="s">
        <v>726</v>
      </c>
      <c r="E152" t="s">
        <v>725</v>
      </c>
      <c r="F152" t="s">
        <v>879</v>
      </c>
    </row>
    <row r="153" spans="1:6" x14ac:dyDescent="0.35">
      <c r="A153" t="s">
        <v>97</v>
      </c>
      <c r="B153" t="s">
        <v>718</v>
      </c>
      <c r="C153">
        <f>1 * 8760 * 0.051 / (1.23 * 12000)</f>
        <v>3.0268292682926828E-2</v>
      </c>
      <c r="D153" t="s">
        <v>722</v>
      </c>
      <c r="E153" t="s">
        <v>732</v>
      </c>
      <c r="F153" t="s">
        <v>746</v>
      </c>
    </row>
    <row r="154" spans="1:6" x14ac:dyDescent="0.35">
      <c r="A154" t="s">
        <v>97</v>
      </c>
      <c r="B154" t="s">
        <v>719</v>
      </c>
      <c r="C154">
        <f>1/1.23</f>
        <v>0.81300813008130079</v>
      </c>
      <c r="D154" t="s">
        <v>726</v>
      </c>
      <c r="E154" t="s">
        <v>725</v>
      </c>
      <c r="F154" t="s">
        <v>879</v>
      </c>
    </row>
    <row r="155" spans="1:6" x14ac:dyDescent="0.35">
      <c r="A155" t="s">
        <v>98</v>
      </c>
      <c r="B155" t="s">
        <v>718</v>
      </c>
      <c r="C155">
        <f>1 * 8760 * 0.051 / (1.23 * 12000)</f>
        <v>3.0268292682926828E-2</v>
      </c>
      <c r="D155" t="s">
        <v>722</v>
      </c>
      <c r="E155" t="s">
        <v>732</v>
      </c>
      <c r="F155" t="s">
        <v>746</v>
      </c>
    </row>
    <row r="156" spans="1:6" x14ac:dyDescent="0.35">
      <c r="A156" t="s">
        <v>98</v>
      </c>
      <c r="B156" t="s">
        <v>719</v>
      </c>
      <c r="C156">
        <f>1/1.23</f>
        <v>0.81300813008130079</v>
      </c>
      <c r="D156" t="s">
        <v>726</v>
      </c>
      <c r="E156" t="s">
        <v>725</v>
      </c>
      <c r="F156" t="s">
        <v>879</v>
      </c>
    </row>
    <row r="157" spans="1:6" x14ac:dyDescent="0.35">
      <c r="A157" t="s">
        <v>99</v>
      </c>
      <c r="B157" t="s">
        <v>718</v>
      </c>
      <c r="C157">
        <f>1 * 8760 * 0.051 / (1.23 * 12000)</f>
        <v>3.0268292682926828E-2</v>
      </c>
      <c r="D157" t="s">
        <v>722</v>
      </c>
      <c r="E157" t="s">
        <v>732</v>
      </c>
      <c r="F157" t="s">
        <v>746</v>
      </c>
    </row>
    <row r="158" spans="1:6" x14ac:dyDescent="0.35">
      <c r="A158" t="s">
        <v>99</v>
      </c>
      <c r="B158" t="s">
        <v>719</v>
      </c>
      <c r="C158">
        <f>1/1.23</f>
        <v>0.81300813008130079</v>
      </c>
      <c r="D158" t="s">
        <v>726</v>
      </c>
      <c r="E158" t="s">
        <v>725</v>
      </c>
      <c r="F158" t="s">
        <v>879</v>
      </c>
    </row>
    <row r="159" spans="1:6" x14ac:dyDescent="0.35">
      <c r="A159" t="s">
        <v>100</v>
      </c>
      <c r="B159" t="s">
        <v>718</v>
      </c>
      <c r="C159">
        <f>1 * 8760 * 0.051 / (1.23 * 12000)</f>
        <v>3.0268292682926828E-2</v>
      </c>
      <c r="D159" t="s">
        <v>722</v>
      </c>
      <c r="E159" t="s">
        <v>732</v>
      </c>
      <c r="F159" t="s">
        <v>746</v>
      </c>
    </row>
    <row r="160" spans="1:6" x14ac:dyDescent="0.35">
      <c r="A160" t="s">
        <v>100</v>
      </c>
      <c r="B160" t="s">
        <v>719</v>
      </c>
      <c r="C160">
        <f>1/1.23</f>
        <v>0.81300813008130079</v>
      </c>
      <c r="D160" t="s">
        <v>726</v>
      </c>
      <c r="E160" t="s">
        <v>725</v>
      </c>
      <c r="F160" t="s">
        <v>879</v>
      </c>
    </row>
    <row r="161" spans="1:6" x14ac:dyDescent="0.35">
      <c r="A161" t="s">
        <v>101</v>
      </c>
      <c r="B161" t="s">
        <v>718</v>
      </c>
      <c r="C161">
        <f>1 * 8760 * 0.051 / (1.23 * 12000)</f>
        <v>3.0268292682926828E-2</v>
      </c>
      <c r="D161" t="s">
        <v>722</v>
      </c>
      <c r="E161" t="s">
        <v>732</v>
      </c>
      <c r="F161" t="s">
        <v>746</v>
      </c>
    </row>
    <row r="162" spans="1:6" x14ac:dyDescent="0.35">
      <c r="A162" t="s">
        <v>101</v>
      </c>
      <c r="B162" t="s">
        <v>719</v>
      </c>
      <c r="C162">
        <f>1/1.23</f>
        <v>0.81300813008130079</v>
      </c>
      <c r="D162" t="s">
        <v>726</v>
      </c>
      <c r="E162" t="s">
        <v>725</v>
      </c>
      <c r="F162" t="s">
        <v>879</v>
      </c>
    </row>
    <row r="163" spans="1:6" x14ac:dyDescent="0.35">
      <c r="A163" t="s">
        <v>102</v>
      </c>
      <c r="B163" t="s">
        <v>718</v>
      </c>
      <c r="C163">
        <f>1 * 8760 * 0.051 / (1.23 * 12000)</f>
        <v>3.0268292682926828E-2</v>
      </c>
      <c r="D163" t="s">
        <v>722</v>
      </c>
      <c r="E163" t="s">
        <v>732</v>
      </c>
      <c r="F163" t="s">
        <v>746</v>
      </c>
    </row>
    <row r="164" spans="1:6" x14ac:dyDescent="0.35">
      <c r="A164" t="s">
        <v>102</v>
      </c>
      <c r="B164" t="s">
        <v>719</v>
      </c>
      <c r="C164">
        <f>1/1.23</f>
        <v>0.81300813008130079</v>
      </c>
      <c r="D164" t="s">
        <v>726</v>
      </c>
      <c r="E164" t="s">
        <v>725</v>
      </c>
      <c r="F164" t="s">
        <v>879</v>
      </c>
    </row>
    <row r="165" spans="1:6" x14ac:dyDescent="0.35">
      <c r="A165" t="s">
        <v>103</v>
      </c>
      <c r="B165" t="s">
        <v>718</v>
      </c>
      <c r="C165">
        <f>1 * 8760 * 0.051 / (1.23 * 12000)</f>
        <v>3.0268292682926828E-2</v>
      </c>
      <c r="D165" t="s">
        <v>722</v>
      </c>
      <c r="E165" t="s">
        <v>732</v>
      </c>
      <c r="F165" t="s">
        <v>746</v>
      </c>
    </row>
    <row r="166" spans="1:6" x14ac:dyDescent="0.35">
      <c r="A166" t="s">
        <v>103</v>
      </c>
      <c r="B166" t="s">
        <v>719</v>
      </c>
      <c r="C166">
        <f>1/1.23</f>
        <v>0.81300813008130079</v>
      </c>
      <c r="D166" t="s">
        <v>726</v>
      </c>
      <c r="E166" t="s">
        <v>725</v>
      </c>
      <c r="F166" t="s">
        <v>879</v>
      </c>
    </row>
    <row r="167" spans="1:6" x14ac:dyDescent="0.35">
      <c r="A167" t="s">
        <v>104</v>
      </c>
      <c r="B167" t="s">
        <v>718</v>
      </c>
      <c r="C167">
        <f>1 * 8760 * 0.051 / (1.23 * 12000)</f>
        <v>3.0268292682926828E-2</v>
      </c>
      <c r="D167" t="s">
        <v>722</v>
      </c>
      <c r="E167" t="s">
        <v>732</v>
      </c>
      <c r="F167" t="s">
        <v>746</v>
      </c>
    </row>
    <row r="168" spans="1:6" x14ac:dyDescent="0.35">
      <c r="A168" t="s">
        <v>104</v>
      </c>
      <c r="B168" t="s">
        <v>719</v>
      </c>
      <c r="C168">
        <f>1/1.23</f>
        <v>0.81300813008130079</v>
      </c>
      <c r="D168" t="s">
        <v>726</v>
      </c>
      <c r="E168" t="s">
        <v>725</v>
      </c>
      <c r="F168" t="s">
        <v>879</v>
      </c>
    </row>
    <row r="169" spans="1:6" x14ac:dyDescent="0.35">
      <c r="A169" t="s">
        <v>105</v>
      </c>
      <c r="B169" t="s">
        <v>718</v>
      </c>
      <c r="C169">
        <f>1 * 8760 * 0.051 / (1.23 * 12000)</f>
        <v>3.0268292682926828E-2</v>
      </c>
      <c r="D169" t="s">
        <v>722</v>
      </c>
      <c r="E169" t="s">
        <v>732</v>
      </c>
      <c r="F169" t="s">
        <v>746</v>
      </c>
    </row>
    <row r="170" spans="1:6" x14ac:dyDescent="0.35">
      <c r="A170" t="s">
        <v>105</v>
      </c>
      <c r="B170" t="s">
        <v>719</v>
      </c>
      <c r="C170">
        <f>1/1.23</f>
        <v>0.81300813008130079</v>
      </c>
      <c r="D170" t="s">
        <v>726</v>
      </c>
      <c r="E170" t="s">
        <v>725</v>
      </c>
      <c r="F170" t="s">
        <v>879</v>
      </c>
    </row>
    <row r="171" spans="1:6" x14ac:dyDescent="0.35">
      <c r="A171" t="s">
        <v>106</v>
      </c>
      <c r="B171" t="s">
        <v>718</v>
      </c>
      <c r="C171">
        <f>1 * 8760 * 0.051 / (1.23 * 12000)</f>
        <v>3.0268292682926828E-2</v>
      </c>
      <c r="D171" t="s">
        <v>722</v>
      </c>
      <c r="E171" t="s">
        <v>732</v>
      </c>
      <c r="F171" t="s">
        <v>746</v>
      </c>
    </row>
    <row r="172" spans="1:6" x14ac:dyDescent="0.35">
      <c r="A172" t="s">
        <v>106</v>
      </c>
      <c r="B172" t="s">
        <v>719</v>
      </c>
      <c r="C172">
        <f>1/1.23</f>
        <v>0.81300813008130079</v>
      </c>
      <c r="D172" t="s">
        <v>726</v>
      </c>
      <c r="E172" t="s">
        <v>725</v>
      </c>
      <c r="F172" t="s">
        <v>879</v>
      </c>
    </row>
    <row r="173" spans="1:6" x14ac:dyDescent="0.35">
      <c r="A173" t="s">
        <v>107</v>
      </c>
      <c r="B173" t="s">
        <v>718</v>
      </c>
      <c r="C173">
        <f>1 * 8760 * 0.051 / (1.23 * 12000)</f>
        <v>3.0268292682926828E-2</v>
      </c>
      <c r="D173" t="s">
        <v>722</v>
      </c>
      <c r="E173" t="s">
        <v>732</v>
      </c>
      <c r="F173" t="s">
        <v>746</v>
      </c>
    </row>
    <row r="174" spans="1:6" x14ac:dyDescent="0.35">
      <c r="A174" t="s">
        <v>107</v>
      </c>
      <c r="B174" t="s">
        <v>719</v>
      </c>
      <c r="C174">
        <f>1/1.23</f>
        <v>0.81300813008130079</v>
      </c>
      <c r="D174" t="s">
        <v>726</v>
      </c>
      <c r="E174" t="s">
        <v>725</v>
      </c>
      <c r="F174" t="s">
        <v>879</v>
      </c>
    </row>
    <row r="175" spans="1:6" x14ac:dyDescent="0.35">
      <c r="A175" t="s">
        <v>108</v>
      </c>
      <c r="B175" t="s">
        <v>718</v>
      </c>
      <c r="C175">
        <f>1 * 8760 * 0.051 / (1.23 * 12000)</f>
        <v>3.0268292682926828E-2</v>
      </c>
      <c r="D175" t="s">
        <v>722</v>
      </c>
      <c r="E175" t="s">
        <v>732</v>
      </c>
      <c r="F175" t="s">
        <v>746</v>
      </c>
    </row>
    <row r="176" spans="1:6" x14ac:dyDescent="0.35">
      <c r="A176" t="s">
        <v>108</v>
      </c>
      <c r="B176" t="s">
        <v>719</v>
      </c>
      <c r="C176">
        <f>1/1.23</f>
        <v>0.81300813008130079</v>
      </c>
      <c r="D176" t="s">
        <v>726</v>
      </c>
      <c r="E176" t="s">
        <v>725</v>
      </c>
      <c r="F176" t="s">
        <v>879</v>
      </c>
    </row>
    <row r="177" spans="1:6" x14ac:dyDescent="0.35">
      <c r="A177" t="s">
        <v>109</v>
      </c>
      <c r="B177" t="s">
        <v>718</v>
      </c>
      <c r="C177">
        <f>1 * 8760 * 0.051 / (1.23 * 12000)</f>
        <v>3.0268292682926828E-2</v>
      </c>
      <c r="D177" t="s">
        <v>722</v>
      </c>
      <c r="E177" t="s">
        <v>732</v>
      </c>
      <c r="F177" t="s">
        <v>746</v>
      </c>
    </row>
    <row r="178" spans="1:6" x14ac:dyDescent="0.35">
      <c r="A178" t="s">
        <v>109</v>
      </c>
      <c r="B178" t="s">
        <v>719</v>
      </c>
      <c r="C178">
        <f>1/1.23</f>
        <v>0.81300813008130079</v>
      </c>
      <c r="D178" t="s">
        <v>726</v>
      </c>
      <c r="E178" t="s">
        <v>725</v>
      </c>
      <c r="F178" t="s">
        <v>879</v>
      </c>
    </row>
    <row r="179" spans="1:6" x14ac:dyDescent="0.35">
      <c r="A179" t="s">
        <v>110</v>
      </c>
      <c r="B179" t="s">
        <v>718</v>
      </c>
      <c r="C179">
        <f>1 * 8760 * 0.051 / (1.23 * 12000)</f>
        <v>3.0268292682926828E-2</v>
      </c>
      <c r="D179" t="s">
        <v>722</v>
      </c>
      <c r="E179" t="s">
        <v>732</v>
      </c>
      <c r="F179" t="s">
        <v>746</v>
      </c>
    </row>
    <row r="180" spans="1:6" x14ac:dyDescent="0.35">
      <c r="A180" t="s">
        <v>110</v>
      </c>
      <c r="B180" t="s">
        <v>719</v>
      </c>
      <c r="C180">
        <f>1/1.23</f>
        <v>0.81300813008130079</v>
      </c>
      <c r="D180" t="s">
        <v>726</v>
      </c>
      <c r="E180" t="s">
        <v>725</v>
      </c>
      <c r="F180" t="s">
        <v>879</v>
      </c>
    </row>
    <row r="181" spans="1:6" x14ac:dyDescent="0.35">
      <c r="A181" t="s">
        <v>111</v>
      </c>
      <c r="B181" t="s">
        <v>718</v>
      </c>
      <c r="C181">
        <f>1 * 8760 * 0.051 / (1.23 * 12000)</f>
        <v>3.0268292682926828E-2</v>
      </c>
      <c r="D181" t="s">
        <v>722</v>
      </c>
      <c r="E181" t="s">
        <v>732</v>
      </c>
      <c r="F181" t="s">
        <v>746</v>
      </c>
    </row>
    <row r="182" spans="1:6" x14ac:dyDescent="0.35">
      <c r="A182" t="s">
        <v>111</v>
      </c>
      <c r="B182" t="s">
        <v>719</v>
      </c>
      <c r="C182">
        <f>1/1.23</f>
        <v>0.81300813008130079</v>
      </c>
      <c r="D182" t="s">
        <v>726</v>
      </c>
      <c r="E182" t="s">
        <v>725</v>
      </c>
      <c r="F182" t="s">
        <v>879</v>
      </c>
    </row>
    <row r="183" spans="1:6" x14ac:dyDescent="0.35">
      <c r="A183" t="s">
        <v>112</v>
      </c>
      <c r="B183" t="s">
        <v>718</v>
      </c>
      <c r="C183">
        <f>1 * 8760 * 0.051 / (1.23 * 12000)</f>
        <v>3.0268292682926828E-2</v>
      </c>
      <c r="D183" t="s">
        <v>722</v>
      </c>
      <c r="E183" t="s">
        <v>732</v>
      </c>
      <c r="F183" t="s">
        <v>746</v>
      </c>
    </row>
    <row r="184" spans="1:6" x14ac:dyDescent="0.35">
      <c r="A184" t="s">
        <v>112</v>
      </c>
      <c r="B184" t="s">
        <v>719</v>
      </c>
      <c r="C184">
        <f>1/1.23</f>
        <v>0.81300813008130079</v>
      </c>
      <c r="D184" t="s">
        <v>726</v>
      </c>
      <c r="E184" t="s">
        <v>725</v>
      </c>
      <c r="F184" t="s">
        <v>879</v>
      </c>
    </row>
    <row r="185" spans="1:6" x14ac:dyDescent="0.35">
      <c r="A185" t="s">
        <v>113</v>
      </c>
      <c r="B185" t="s">
        <v>718</v>
      </c>
      <c r="C185">
        <f>1 * 8760 * 0.051 / (1.23 * 12000)</f>
        <v>3.0268292682926828E-2</v>
      </c>
      <c r="D185" t="s">
        <v>722</v>
      </c>
      <c r="E185" t="s">
        <v>732</v>
      </c>
      <c r="F185" t="s">
        <v>746</v>
      </c>
    </row>
    <row r="186" spans="1:6" x14ac:dyDescent="0.35">
      <c r="A186" t="s">
        <v>113</v>
      </c>
      <c r="B186" t="s">
        <v>719</v>
      </c>
      <c r="C186">
        <f>1/1.23</f>
        <v>0.81300813008130079</v>
      </c>
      <c r="D186" t="s">
        <v>726</v>
      </c>
      <c r="E186" t="s">
        <v>725</v>
      </c>
      <c r="F186" t="s">
        <v>879</v>
      </c>
    </row>
    <row r="187" spans="1:6" x14ac:dyDescent="0.35">
      <c r="A187" t="s">
        <v>114</v>
      </c>
      <c r="B187" t="s">
        <v>718</v>
      </c>
      <c r="C187">
        <f>1 * 8760 * 0.051 / (1.23 * 12000)</f>
        <v>3.0268292682926828E-2</v>
      </c>
      <c r="D187" t="s">
        <v>722</v>
      </c>
      <c r="E187" t="s">
        <v>732</v>
      </c>
      <c r="F187" t="s">
        <v>746</v>
      </c>
    </row>
    <row r="188" spans="1:6" x14ac:dyDescent="0.35">
      <c r="A188" t="s">
        <v>114</v>
      </c>
      <c r="B188" t="s">
        <v>719</v>
      </c>
      <c r="C188">
        <f>1/1.23</f>
        <v>0.81300813008130079</v>
      </c>
      <c r="D188" t="s">
        <v>726</v>
      </c>
      <c r="E188" t="s">
        <v>725</v>
      </c>
      <c r="F188" t="s">
        <v>879</v>
      </c>
    </row>
    <row r="189" spans="1:6" x14ac:dyDescent="0.35">
      <c r="A189" t="s">
        <v>115</v>
      </c>
      <c r="B189" t="s">
        <v>718</v>
      </c>
      <c r="C189">
        <f>1/400 / 1000</f>
        <v>2.5000000000000002E-6</v>
      </c>
      <c r="D189" t="s">
        <v>722</v>
      </c>
      <c r="E189" t="s">
        <v>730</v>
      </c>
      <c r="F189" t="s">
        <v>899</v>
      </c>
    </row>
    <row r="190" spans="1:6" x14ac:dyDescent="0.35">
      <c r="A190" t="s">
        <v>115</v>
      </c>
      <c r="B190" t="s">
        <v>719</v>
      </c>
      <c r="C190">
        <f>1</f>
        <v>1</v>
      </c>
      <c r="D190" t="s">
        <v>723</v>
      </c>
      <c r="E190" t="s">
        <v>723</v>
      </c>
    </row>
    <row r="191" spans="1:6" x14ac:dyDescent="0.35">
      <c r="A191" t="s">
        <v>116</v>
      </c>
      <c r="B191" t="s">
        <v>718</v>
      </c>
      <c r="C191">
        <f>1/400 / 1000</f>
        <v>2.5000000000000002E-6</v>
      </c>
      <c r="D191" t="s">
        <v>722</v>
      </c>
      <c r="E191" t="s">
        <v>730</v>
      </c>
      <c r="F191" t="s">
        <v>899</v>
      </c>
    </row>
    <row r="192" spans="1:6" x14ac:dyDescent="0.35">
      <c r="A192" t="s">
        <v>116</v>
      </c>
      <c r="B192" t="s">
        <v>719</v>
      </c>
      <c r="C192">
        <f>1</f>
        <v>1</v>
      </c>
      <c r="D192" t="s">
        <v>723</v>
      </c>
      <c r="E192" t="s">
        <v>723</v>
      </c>
    </row>
    <row r="193" spans="1:6" x14ac:dyDescent="0.35">
      <c r="A193" t="s">
        <v>117</v>
      </c>
      <c r="B193" t="s">
        <v>718</v>
      </c>
      <c r="C193">
        <f>(8760*0.85)/340 / 1000000</f>
        <v>2.1899999999999997E-5</v>
      </c>
      <c r="D193" t="s">
        <v>722</v>
      </c>
      <c r="E193" t="s">
        <v>731</v>
      </c>
      <c r="F193" t="s">
        <v>747</v>
      </c>
    </row>
    <row r="194" spans="1:6" x14ac:dyDescent="0.35">
      <c r="A194" t="s">
        <v>117</v>
      </c>
      <c r="B194" t="s">
        <v>719</v>
      </c>
      <c r="C194">
        <v>1</v>
      </c>
      <c r="D194" t="s">
        <v>721</v>
      </c>
      <c r="E194" t="s">
        <v>721</v>
      </c>
    </row>
    <row r="195" spans="1:6" x14ac:dyDescent="0.35">
      <c r="A195" t="s">
        <v>118</v>
      </c>
      <c r="B195" t="s">
        <v>718</v>
      </c>
      <c r="C195">
        <f>(8760*0.85)/340 / 1000000</f>
        <v>2.1899999999999997E-5</v>
      </c>
      <c r="D195" t="s">
        <v>722</v>
      </c>
      <c r="E195" t="s">
        <v>731</v>
      </c>
      <c r="F195" t="s">
        <v>747</v>
      </c>
    </row>
    <row r="196" spans="1:6" x14ac:dyDescent="0.35">
      <c r="A196" t="s">
        <v>118</v>
      </c>
      <c r="B196" t="s">
        <v>719</v>
      </c>
      <c r="C196">
        <v>1</v>
      </c>
      <c r="D196" t="s">
        <v>721</v>
      </c>
      <c r="E196" t="s">
        <v>721</v>
      </c>
    </row>
    <row r="197" spans="1:6" x14ac:dyDescent="0.35">
      <c r="A197" t="s">
        <v>119</v>
      </c>
      <c r="B197" t="s">
        <v>718</v>
      </c>
      <c r="C197">
        <f>(24*0.86)/2.7 / 1000000</f>
        <v>7.6444444444444432E-6</v>
      </c>
      <c r="D197" t="s">
        <v>722</v>
      </c>
      <c r="E197" t="s">
        <v>731</v>
      </c>
      <c r="F197" t="s">
        <v>748</v>
      </c>
    </row>
    <row r="198" spans="1:6" x14ac:dyDescent="0.35">
      <c r="A198" t="s">
        <v>119</v>
      </c>
      <c r="B198" t="s">
        <v>719</v>
      </c>
      <c r="C198">
        <v>1</v>
      </c>
      <c r="D198" t="s">
        <v>721</v>
      </c>
      <c r="E198" t="s">
        <v>721</v>
      </c>
    </row>
    <row r="199" spans="1:6" x14ac:dyDescent="0.35">
      <c r="A199" t="s">
        <v>120</v>
      </c>
      <c r="B199" t="s">
        <v>718</v>
      </c>
      <c r="C199">
        <f>1 / (16000*827.3)</f>
        <v>7.5546959990329989E-8</v>
      </c>
      <c r="D199" t="s">
        <v>722</v>
      </c>
      <c r="E199" t="s">
        <v>721</v>
      </c>
      <c r="F199" t="s">
        <v>749</v>
      </c>
    </row>
    <row r="200" spans="1:6" x14ac:dyDescent="0.35">
      <c r="A200" t="s">
        <v>121</v>
      </c>
      <c r="B200" t="s">
        <v>718</v>
      </c>
      <c r="C200">
        <f>(1 / 1.5385) * (8760 * 0.86) / (33.3 * 1000) / 1000000</f>
        <v>1.4704857603785131E-7</v>
      </c>
      <c r="D200" t="s">
        <v>722</v>
      </c>
      <c r="E200" t="s">
        <v>730</v>
      </c>
      <c r="F200" t="s">
        <v>750</v>
      </c>
    </row>
    <row r="201" spans="1:6" x14ac:dyDescent="0.35">
      <c r="A201" t="s">
        <v>121</v>
      </c>
      <c r="B201" t="s">
        <v>719</v>
      </c>
      <c r="C201">
        <f>1 / 11.83</f>
        <v>8.453085376162299E-2</v>
      </c>
      <c r="D201" t="s">
        <v>721</v>
      </c>
      <c r="E201" t="s">
        <v>723</v>
      </c>
      <c r="F201" t="s">
        <v>822</v>
      </c>
    </row>
    <row r="202" spans="1:6" x14ac:dyDescent="0.35">
      <c r="A202" t="s">
        <v>122</v>
      </c>
      <c r="B202" t="s">
        <v>718</v>
      </c>
      <c r="C202">
        <f>(1 / 1.190476) * (8760 * 0.86) / (33.3 * 1000) / 1000000</f>
        <v>1.9003678716264265E-7</v>
      </c>
      <c r="D202" t="s">
        <v>722</v>
      </c>
      <c r="E202" t="s">
        <v>730</v>
      </c>
      <c r="F202" t="s">
        <v>751</v>
      </c>
    </row>
    <row r="203" spans="1:6" x14ac:dyDescent="0.35">
      <c r="A203" t="s">
        <v>122</v>
      </c>
      <c r="B203" t="s">
        <v>719</v>
      </c>
      <c r="C203">
        <f>1 * 3.6 / 43</f>
        <v>8.3720930232558138E-2</v>
      </c>
      <c r="D203" t="s">
        <v>721</v>
      </c>
      <c r="E203" t="s">
        <v>723</v>
      </c>
      <c r="F203" t="s">
        <v>880</v>
      </c>
    </row>
    <row r="204" spans="1:6" x14ac:dyDescent="0.35">
      <c r="A204" t="s">
        <v>123</v>
      </c>
      <c r="B204" t="s">
        <v>718</v>
      </c>
      <c r="C204">
        <f>1 * 8760 * 0.297 / (21 * 50000)</f>
        <v>2.4778285714285712E-3</v>
      </c>
      <c r="D204" t="s">
        <v>722</v>
      </c>
      <c r="E204" t="s">
        <v>732</v>
      </c>
      <c r="F204" t="s">
        <v>752</v>
      </c>
    </row>
    <row r="205" spans="1:6" x14ac:dyDescent="0.35">
      <c r="A205" t="s">
        <v>123</v>
      </c>
      <c r="B205" t="s">
        <v>719</v>
      </c>
      <c r="C205">
        <f>1</f>
        <v>1</v>
      </c>
      <c r="D205" t="s">
        <v>725</v>
      </c>
      <c r="E205" t="s">
        <v>725</v>
      </c>
    </row>
    <row r="206" spans="1:6" x14ac:dyDescent="0.35">
      <c r="A206" t="s">
        <v>124</v>
      </c>
      <c r="B206" t="s">
        <v>718</v>
      </c>
      <c r="C206">
        <f>1 * 8760 * 0.297 / (21 * 50000)</f>
        <v>2.4778285714285712E-3</v>
      </c>
      <c r="D206" t="s">
        <v>722</v>
      </c>
      <c r="E206" t="s">
        <v>732</v>
      </c>
      <c r="F206" t="s">
        <v>752</v>
      </c>
    </row>
    <row r="207" spans="1:6" x14ac:dyDescent="0.35">
      <c r="A207" t="s">
        <v>124</v>
      </c>
      <c r="B207" t="s">
        <v>719</v>
      </c>
      <c r="C207">
        <f>1</f>
        <v>1</v>
      </c>
      <c r="D207" t="s">
        <v>725</v>
      </c>
      <c r="E207" t="s">
        <v>725</v>
      </c>
    </row>
    <row r="208" spans="1:6" x14ac:dyDescent="0.35">
      <c r="A208" t="s">
        <v>125</v>
      </c>
      <c r="B208" t="s">
        <v>718</v>
      </c>
      <c r="C208">
        <f>1 * 8760 * 0.297 / (21 * 50000)</f>
        <v>2.4778285714285712E-3</v>
      </c>
      <c r="D208" t="s">
        <v>722</v>
      </c>
      <c r="E208" t="s">
        <v>732</v>
      </c>
      <c r="F208" t="s">
        <v>752</v>
      </c>
    </row>
    <row r="209" spans="1:6" x14ac:dyDescent="0.35">
      <c r="A209" t="s">
        <v>125</v>
      </c>
      <c r="B209" t="s">
        <v>719</v>
      </c>
      <c r="C209">
        <f>1</f>
        <v>1</v>
      </c>
      <c r="D209" t="s">
        <v>725</v>
      </c>
      <c r="E209" t="s">
        <v>725</v>
      </c>
    </row>
    <row r="210" spans="1:6" x14ac:dyDescent="0.35">
      <c r="A210" t="s">
        <v>126</v>
      </c>
      <c r="B210" t="s">
        <v>718</v>
      </c>
      <c r="C210">
        <f>1 * 8760 * 0.297 / (21 * 50000)</f>
        <v>2.4778285714285712E-3</v>
      </c>
      <c r="D210" t="s">
        <v>722</v>
      </c>
      <c r="E210" t="s">
        <v>732</v>
      </c>
      <c r="F210" t="s">
        <v>752</v>
      </c>
    </row>
    <row r="211" spans="1:6" x14ac:dyDescent="0.35">
      <c r="A211" t="s">
        <v>126</v>
      </c>
      <c r="B211" t="s">
        <v>719</v>
      </c>
      <c r="C211">
        <f>1</f>
        <v>1</v>
      </c>
      <c r="D211" t="s">
        <v>725</v>
      </c>
      <c r="E211" t="s">
        <v>725</v>
      </c>
    </row>
    <row r="212" spans="1:6" x14ac:dyDescent="0.35">
      <c r="A212" t="s">
        <v>127</v>
      </c>
      <c r="B212" t="s">
        <v>718</v>
      </c>
      <c r="C212">
        <f>1 * 8760 * 0.297 / (21 * 50000)</f>
        <v>2.4778285714285712E-3</v>
      </c>
      <c r="D212" t="s">
        <v>722</v>
      </c>
      <c r="E212" t="s">
        <v>732</v>
      </c>
      <c r="F212" t="s">
        <v>752</v>
      </c>
    </row>
    <row r="213" spans="1:6" x14ac:dyDescent="0.35">
      <c r="A213" t="s">
        <v>127</v>
      </c>
      <c r="B213" t="s">
        <v>719</v>
      </c>
      <c r="C213">
        <f>1</f>
        <v>1</v>
      </c>
      <c r="D213" t="s">
        <v>725</v>
      </c>
      <c r="E213" t="s">
        <v>725</v>
      </c>
    </row>
    <row r="214" spans="1:6" x14ac:dyDescent="0.35">
      <c r="A214" t="s">
        <v>128</v>
      </c>
      <c r="B214" t="s">
        <v>718</v>
      </c>
      <c r="C214">
        <f>1 * 8760 * 0.297 / (21 * 50000)</f>
        <v>2.4778285714285712E-3</v>
      </c>
      <c r="D214" t="s">
        <v>722</v>
      </c>
      <c r="E214" t="s">
        <v>732</v>
      </c>
      <c r="F214" t="s">
        <v>752</v>
      </c>
    </row>
    <row r="215" spans="1:6" x14ac:dyDescent="0.35">
      <c r="A215" t="s">
        <v>128</v>
      </c>
      <c r="B215" t="s">
        <v>719</v>
      </c>
      <c r="C215">
        <f>1</f>
        <v>1</v>
      </c>
      <c r="D215" t="s">
        <v>725</v>
      </c>
      <c r="E215" t="s">
        <v>725</v>
      </c>
    </row>
    <row r="216" spans="1:6" x14ac:dyDescent="0.35">
      <c r="A216" t="s">
        <v>129</v>
      </c>
      <c r="B216" t="s">
        <v>718</v>
      </c>
      <c r="C216">
        <f>1 * 8760 * 0.297 / (21 * 50000)</f>
        <v>2.4778285714285712E-3</v>
      </c>
      <c r="D216" t="s">
        <v>722</v>
      </c>
      <c r="E216" t="s">
        <v>732</v>
      </c>
      <c r="F216" t="s">
        <v>752</v>
      </c>
    </row>
    <row r="217" spans="1:6" x14ac:dyDescent="0.35">
      <c r="A217" t="s">
        <v>129</v>
      </c>
      <c r="B217" t="s">
        <v>719</v>
      </c>
      <c r="C217">
        <f>1</f>
        <v>1</v>
      </c>
      <c r="D217" t="s">
        <v>725</v>
      </c>
      <c r="E217" t="s">
        <v>725</v>
      </c>
    </row>
    <row r="218" spans="1:6" x14ac:dyDescent="0.35">
      <c r="A218" t="s">
        <v>130</v>
      </c>
      <c r="B218" t="s">
        <v>718</v>
      </c>
      <c r="C218">
        <f>1 * 8760 * 0.297 / (21 * 50000)</f>
        <v>2.4778285714285712E-3</v>
      </c>
      <c r="D218" t="s">
        <v>722</v>
      </c>
      <c r="E218" t="s">
        <v>732</v>
      </c>
      <c r="F218" t="s">
        <v>752</v>
      </c>
    </row>
    <row r="219" spans="1:6" x14ac:dyDescent="0.35">
      <c r="A219" t="s">
        <v>130</v>
      </c>
      <c r="B219" t="s">
        <v>719</v>
      </c>
      <c r="C219">
        <f>1</f>
        <v>1</v>
      </c>
      <c r="D219" t="s">
        <v>725</v>
      </c>
      <c r="E219" t="s">
        <v>725</v>
      </c>
    </row>
    <row r="220" spans="1:6" x14ac:dyDescent="0.35">
      <c r="A220" t="s">
        <v>131</v>
      </c>
      <c r="B220" t="s">
        <v>718</v>
      </c>
      <c r="C220">
        <f>1 * 8760 * 0.297 / (21 * 50000)</f>
        <v>2.4778285714285712E-3</v>
      </c>
      <c r="D220" t="s">
        <v>722</v>
      </c>
      <c r="E220" t="s">
        <v>732</v>
      </c>
      <c r="F220" t="s">
        <v>752</v>
      </c>
    </row>
    <row r="221" spans="1:6" x14ac:dyDescent="0.35">
      <c r="A221" t="s">
        <v>131</v>
      </c>
      <c r="B221" t="s">
        <v>719</v>
      </c>
      <c r="C221">
        <f>1</f>
        <v>1</v>
      </c>
      <c r="D221" t="s">
        <v>725</v>
      </c>
      <c r="E221" t="s">
        <v>725</v>
      </c>
    </row>
    <row r="222" spans="1:6" x14ac:dyDescent="0.35">
      <c r="A222" t="s">
        <v>132</v>
      </c>
      <c r="B222" t="s">
        <v>718</v>
      </c>
      <c r="C222">
        <f>1 * 8760 * 0.297 / (21 * 50000)</f>
        <v>2.4778285714285712E-3</v>
      </c>
      <c r="D222" t="s">
        <v>722</v>
      </c>
      <c r="E222" t="s">
        <v>732</v>
      </c>
      <c r="F222" t="s">
        <v>752</v>
      </c>
    </row>
    <row r="223" spans="1:6" x14ac:dyDescent="0.35">
      <c r="A223" t="s">
        <v>132</v>
      </c>
      <c r="B223" t="s">
        <v>719</v>
      </c>
      <c r="C223">
        <f>1</f>
        <v>1</v>
      </c>
      <c r="D223" t="s">
        <v>725</v>
      </c>
      <c r="E223" t="s">
        <v>725</v>
      </c>
    </row>
    <row r="224" spans="1:6" x14ac:dyDescent="0.35">
      <c r="A224" t="s">
        <v>133</v>
      </c>
      <c r="B224" t="s">
        <v>718</v>
      </c>
      <c r="C224">
        <f>1 * 8760 * 0.297 / (21 * 50000)</f>
        <v>2.4778285714285712E-3</v>
      </c>
      <c r="D224" t="s">
        <v>722</v>
      </c>
      <c r="E224" t="s">
        <v>732</v>
      </c>
      <c r="F224" t="s">
        <v>752</v>
      </c>
    </row>
    <row r="225" spans="1:6" x14ac:dyDescent="0.35">
      <c r="A225" t="s">
        <v>133</v>
      </c>
      <c r="B225" t="s">
        <v>719</v>
      </c>
      <c r="C225">
        <f>1</f>
        <v>1</v>
      </c>
      <c r="D225" t="s">
        <v>725</v>
      </c>
      <c r="E225" t="s">
        <v>725</v>
      </c>
    </row>
    <row r="226" spans="1:6" x14ac:dyDescent="0.35">
      <c r="A226" t="s">
        <v>134</v>
      </c>
      <c r="B226" t="s">
        <v>718</v>
      </c>
      <c r="C226">
        <f>1 * 8760 * 0.297 / (21 * 50000)</f>
        <v>2.4778285714285712E-3</v>
      </c>
      <c r="D226" t="s">
        <v>722</v>
      </c>
      <c r="E226" t="s">
        <v>732</v>
      </c>
      <c r="F226" t="s">
        <v>752</v>
      </c>
    </row>
    <row r="227" spans="1:6" x14ac:dyDescent="0.35">
      <c r="A227" t="s">
        <v>134</v>
      </c>
      <c r="B227" t="s">
        <v>719</v>
      </c>
      <c r="C227">
        <f>1</f>
        <v>1</v>
      </c>
      <c r="D227" t="s">
        <v>725</v>
      </c>
      <c r="E227" t="s">
        <v>725</v>
      </c>
    </row>
    <row r="228" spans="1:6" x14ac:dyDescent="0.35">
      <c r="A228" t="s">
        <v>135</v>
      </c>
      <c r="B228" t="s">
        <v>718</v>
      </c>
      <c r="C228">
        <f>1 * 8760 * 0.297 / (21 * 50000)</f>
        <v>2.4778285714285712E-3</v>
      </c>
      <c r="D228" t="s">
        <v>722</v>
      </c>
      <c r="E228" t="s">
        <v>732</v>
      </c>
      <c r="F228" t="s">
        <v>752</v>
      </c>
    </row>
    <row r="229" spans="1:6" x14ac:dyDescent="0.35">
      <c r="A229" t="s">
        <v>135</v>
      </c>
      <c r="B229" t="s">
        <v>719</v>
      </c>
      <c r="C229">
        <f>1</f>
        <v>1</v>
      </c>
      <c r="D229" t="s">
        <v>725</v>
      </c>
      <c r="E229" t="s">
        <v>725</v>
      </c>
    </row>
    <row r="230" spans="1:6" x14ac:dyDescent="0.35">
      <c r="A230" t="s">
        <v>136</v>
      </c>
      <c r="B230" t="s">
        <v>718</v>
      </c>
      <c r="C230">
        <f>1 * 8760 * 0.297 / (21 * 50000)</f>
        <v>2.4778285714285712E-3</v>
      </c>
      <c r="D230" t="s">
        <v>722</v>
      </c>
      <c r="E230" t="s">
        <v>732</v>
      </c>
      <c r="F230" t="s">
        <v>752</v>
      </c>
    </row>
    <row r="231" spans="1:6" x14ac:dyDescent="0.35">
      <c r="A231" t="s">
        <v>136</v>
      </c>
      <c r="B231" t="s">
        <v>719</v>
      </c>
      <c r="C231">
        <f>1</f>
        <v>1</v>
      </c>
      <c r="D231" t="s">
        <v>725</v>
      </c>
      <c r="E231" t="s">
        <v>725</v>
      </c>
    </row>
    <row r="232" spans="1:6" x14ac:dyDescent="0.35">
      <c r="A232" t="s">
        <v>137</v>
      </c>
      <c r="B232" t="s">
        <v>718</v>
      </c>
      <c r="C232">
        <f>1 * 8760 * 0.297 / (21 * 50000)</f>
        <v>2.4778285714285712E-3</v>
      </c>
      <c r="D232" t="s">
        <v>722</v>
      </c>
      <c r="E232" t="s">
        <v>732</v>
      </c>
      <c r="F232" t="s">
        <v>752</v>
      </c>
    </row>
    <row r="233" spans="1:6" x14ac:dyDescent="0.35">
      <c r="A233" t="s">
        <v>137</v>
      </c>
      <c r="B233" t="s">
        <v>719</v>
      </c>
      <c r="C233">
        <f>1</f>
        <v>1</v>
      </c>
      <c r="D233" t="s">
        <v>725</v>
      </c>
      <c r="E233" t="s">
        <v>725</v>
      </c>
    </row>
    <row r="234" spans="1:6" x14ac:dyDescent="0.35">
      <c r="A234" t="s">
        <v>138</v>
      </c>
      <c r="B234" t="s">
        <v>718</v>
      </c>
      <c r="C234">
        <f>1 * 8760 * 0.297 / (21 * 50000)</f>
        <v>2.4778285714285712E-3</v>
      </c>
      <c r="D234" t="s">
        <v>722</v>
      </c>
      <c r="E234" t="s">
        <v>732</v>
      </c>
      <c r="F234" t="s">
        <v>752</v>
      </c>
    </row>
    <row r="235" spans="1:6" x14ac:dyDescent="0.35">
      <c r="A235" t="s">
        <v>138</v>
      </c>
      <c r="B235" t="s">
        <v>719</v>
      </c>
      <c r="C235">
        <f>1</f>
        <v>1</v>
      </c>
      <c r="D235" t="s">
        <v>725</v>
      </c>
      <c r="E235" t="s">
        <v>725</v>
      </c>
    </row>
    <row r="236" spans="1:6" x14ac:dyDescent="0.35">
      <c r="A236" t="s">
        <v>139</v>
      </c>
      <c r="B236" t="s">
        <v>718</v>
      </c>
      <c r="C236">
        <f>1 * 8760 * 0.297 / (21 * 50000)</f>
        <v>2.4778285714285712E-3</v>
      </c>
      <c r="D236" t="s">
        <v>722</v>
      </c>
      <c r="E236" t="s">
        <v>732</v>
      </c>
      <c r="F236" t="s">
        <v>752</v>
      </c>
    </row>
    <row r="237" spans="1:6" x14ac:dyDescent="0.35">
      <c r="A237" t="s">
        <v>139</v>
      </c>
      <c r="B237" t="s">
        <v>719</v>
      </c>
      <c r="C237">
        <f>1</f>
        <v>1</v>
      </c>
      <c r="D237" t="s">
        <v>725</v>
      </c>
      <c r="E237" t="s">
        <v>725</v>
      </c>
    </row>
    <row r="238" spans="1:6" x14ac:dyDescent="0.35">
      <c r="A238" t="s">
        <v>140</v>
      </c>
      <c r="B238" t="s">
        <v>718</v>
      </c>
      <c r="C238">
        <f>1 * 8760 * 0.297 / (21 * 50000)</f>
        <v>2.4778285714285712E-3</v>
      </c>
      <c r="D238" t="s">
        <v>722</v>
      </c>
      <c r="E238" t="s">
        <v>732</v>
      </c>
      <c r="F238" t="s">
        <v>752</v>
      </c>
    </row>
    <row r="239" spans="1:6" x14ac:dyDescent="0.35">
      <c r="A239" t="s">
        <v>140</v>
      </c>
      <c r="B239" t="s">
        <v>719</v>
      </c>
      <c r="C239">
        <f>1</f>
        <v>1</v>
      </c>
      <c r="D239" t="s">
        <v>725</v>
      </c>
      <c r="E239" t="s">
        <v>725</v>
      </c>
    </row>
    <row r="240" spans="1:6" x14ac:dyDescent="0.35">
      <c r="A240" t="s">
        <v>141</v>
      </c>
      <c r="B240" t="s">
        <v>718</v>
      </c>
      <c r="C240">
        <f>1 * 8760 * 0.297 / (21 * 50000)</f>
        <v>2.4778285714285712E-3</v>
      </c>
      <c r="D240" t="s">
        <v>722</v>
      </c>
      <c r="E240" t="s">
        <v>732</v>
      </c>
      <c r="F240" t="s">
        <v>752</v>
      </c>
    </row>
    <row r="241" spans="1:6" x14ac:dyDescent="0.35">
      <c r="A241" t="s">
        <v>141</v>
      </c>
      <c r="B241" t="s">
        <v>719</v>
      </c>
      <c r="C241">
        <f>1</f>
        <v>1</v>
      </c>
      <c r="D241" t="s">
        <v>725</v>
      </c>
      <c r="E241" t="s">
        <v>725</v>
      </c>
    </row>
    <row r="242" spans="1:6" x14ac:dyDescent="0.35">
      <c r="A242" t="s">
        <v>142</v>
      </c>
      <c r="B242" t="s">
        <v>718</v>
      </c>
      <c r="C242">
        <f>1 * 8760 * 0.297 / (21 * 50000)</f>
        <v>2.4778285714285712E-3</v>
      </c>
      <c r="D242" t="s">
        <v>722</v>
      </c>
      <c r="E242" t="s">
        <v>732</v>
      </c>
      <c r="F242" t="s">
        <v>752</v>
      </c>
    </row>
    <row r="243" spans="1:6" x14ac:dyDescent="0.35">
      <c r="A243" t="s">
        <v>142</v>
      </c>
      <c r="B243" t="s">
        <v>719</v>
      </c>
      <c r="C243">
        <f>1</f>
        <v>1</v>
      </c>
      <c r="D243" t="s">
        <v>725</v>
      </c>
      <c r="E243" t="s">
        <v>725</v>
      </c>
    </row>
    <row r="244" spans="1:6" x14ac:dyDescent="0.35">
      <c r="A244" t="s">
        <v>143</v>
      </c>
      <c r="B244" t="s">
        <v>718</v>
      </c>
      <c r="C244">
        <f>1 * 8760 * 0.297 / (21 * 50000)</f>
        <v>2.4778285714285712E-3</v>
      </c>
      <c r="D244" t="s">
        <v>722</v>
      </c>
      <c r="E244" t="s">
        <v>732</v>
      </c>
      <c r="F244" t="s">
        <v>752</v>
      </c>
    </row>
    <row r="245" spans="1:6" x14ac:dyDescent="0.35">
      <c r="A245" t="s">
        <v>143</v>
      </c>
      <c r="B245" t="s">
        <v>719</v>
      </c>
      <c r="C245">
        <f>1</f>
        <v>1</v>
      </c>
      <c r="D245" t="s">
        <v>725</v>
      </c>
      <c r="E245" t="s">
        <v>725</v>
      </c>
    </row>
    <row r="246" spans="1:6" x14ac:dyDescent="0.35">
      <c r="A246" t="s">
        <v>144</v>
      </c>
      <c r="B246" t="s">
        <v>718</v>
      </c>
      <c r="C246">
        <f>1 * 8760 * 0.297 / (21 * 50000)</f>
        <v>2.4778285714285712E-3</v>
      </c>
      <c r="D246" t="s">
        <v>722</v>
      </c>
      <c r="E246" t="s">
        <v>732</v>
      </c>
      <c r="F246" t="s">
        <v>752</v>
      </c>
    </row>
    <row r="247" spans="1:6" x14ac:dyDescent="0.35">
      <c r="A247" t="s">
        <v>144</v>
      </c>
      <c r="B247" t="s">
        <v>719</v>
      </c>
      <c r="C247">
        <f>1</f>
        <v>1</v>
      </c>
      <c r="D247" t="s">
        <v>725</v>
      </c>
      <c r="E247" t="s">
        <v>725</v>
      </c>
    </row>
    <row r="248" spans="1:6" x14ac:dyDescent="0.35">
      <c r="A248" t="s">
        <v>145</v>
      </c>
      <c r="B248" t="s">
        <v>718</v>
      </c>
      <c r="C248">
        <f>1 * 8760 * 0.297 / (21 * 50000)</f>
        <v>2.4778285714285712E-3</v>
      </c>
      <c r="D248" t="s">
        <v>722</v>
      </c>
      <c r="E248" t="s">
        <v>732</v>
      </c>
      <c r="F248" t="s">
        <v>752</v>
      </c>
    </row>
    <row r="249" spans="1:6" x14ac:dyDescent="0.35">
      <c r="A249" t="s">
        <v>145</v>
      </c>
      <c r="B249" t="s">
        <v>719</v>
      </c>
      <c r="C249">
        <f>1</f>
        <v>1</v>
      </c>
      <c r="D249" t="s">
        <v>725</v>
      </c>
      <c r="E249" t="s">
        <v>725</v>
      </c>
    </row>
    <row r="250" spans="1:6" x14ac:dyDescent="0.35">
      <c r="A250" t="s">
        <v>146</v>
      </c>
      <c r="B250" t="s">
        <v>718</v>
      </c>
      <c r="C250">
        <f>1 * 8760 * 0.297 / (21 * 50000)</f>
        <v>2.4778285714285712E-3</v>
      </c>
      <c r="D250" t="s">
        <v>722</v>
      </c>
      <c r="E250" t="s">
        <v>732</v>
      </c>
      <c r="F250" t="s">
        <v>752</v>
      </c>
    </row>
    <row r="251" spans="1:6" x14ac:dyDescent="0.35">
      <c r="A251" t="s">
        <v>146</v>
      </c>
      <c r="B251" t="s">
        <v>719</v>
      </c>
      <c r="C251">
        <f>1</f>
        <v>1</v>
      </c>
      <c r="D251" t="s">
        <v>725</v>
      </c>
      <c r="E251" t="s">
        <v>725</v>
      </c>
    </row>
    <row r="252" spans="1:6" x14ac:dyDescent="0.35">
      <c r="A252" t="s">
        <v>147</v>
      </c>
      <c r="B252" t="s">
        <v>718</v>
      </c>
      <c r="C252">
        <f>1 * 8760 * 0.297 / (21 * 50000)</f>
        <v>2.4778285714285712E-3</v>
      </c>
      <c r="D252" t="s">
        <v>722</v>
      </c>
      <c r="E252" t="s">
        <v>732</v>
      </c>
      <c r="F252" t="s">
        <v>752</v>
      </c>
    </row>
    <row r="253" spans="1:6" x14ac:dyDescent="0.35">
      <c r="A253" t="s">
        <v>147</v>
      </c>
      <c r="B253" t="s">
        <v>719</v>
      </c>
      <c r="C253">
        <f>1</f>
        <v>1</v>
      </c>
      <c r="D253" t="s">
        <v>725</v>
      </c>
      <c r="E253" t="s">
        <v>725</v>
      </c>
    </row>
    <row r="254" spans="1:6" x14ac:dyDescent="0.35">
      <c r="A254" t="s">
        <v>148</v>
      </c>
      <c r="B254" t="s">
        <v>718</v>
      </c>
      <c r="C254">
        <f>1 * 8760 * 0.297 / (21 * 50000)</f>
        <v>2.4778285714285712E-3</v>
      </c>
      <c r="D254" t="s">
        <v>722</v>
      </c>
      <c r="E254" t="s">
        <v>732</v>
      </c>
      <c r="F254" t="s">
        <v>752</v>
      </c>
    </row>
    <row r="255" spans="1:6" x14ac:dyDescent="0.35">
      <c r="A255" t="s">
        <v>148</v>
      </c>
      <c r="B255" t="s">
        <v>719</v>
      </c>
      <c r="C255">
        <f>1</f>
        <v>1</v>
      </c>
      <c r="D255" t="s">
        <v>725</v>
      </c>
      <c r="E255" t="s">
        <v>725</v>
      </c>
    </row>
    <row r="256" spans="1:6" x14ac:dyDescent="0.35">
      <c r="A256" t="s">
        <v>149</v>
      </c>
      <c r="B256" t="s">
        <v>718</v>
      </c>
      <c r="C256">
        <f>1 * 8760 * 0.297 / (21 * 50000)</f>
        <v>2.4778285714285712E-3</v>
      </c>
      <c r="D256" t="s">
        <v>722</v>
      </c>
      <c r="E256" t="s">
        <v>732</v>
      </c>
      <c r="F256" t="s">
        <v>752</v>
      </c>
    </row>
    <row r="257" spans="1:6" x14ac:dyDescent="0.35">
      <c r="A257" t="s">
        <v>149</v>
      </c>
      <c r="B257" t="s">
        <v>719</v>
      </c>
      <c r="C257">
        <f>1</f>
        <v>1</v>
      </c>
      <c r="D257" t="s">
        <v>725</v>
      </c>
      <c r="E257" t="s">
        <v>725</v>
      </c>
    </row>
    <row r="258" spans="1:6" x14ac:dyDescent="0.35">
      <c r="A258" t="s">
        <v>150</v>
      </c>
      <c r="B258" t="s">
        <v>717</v>
      </c>
      <c r="C258">
        <f>1 * 3.6 / 27.91</f>
        <v>0.12898602651379434</v>
      </c>
      <c r="D258" t="s">
        <v>721</v>
      </c>
      <c r="E258" t="s">
        <v>723</v>
      </c>
      <c r="F258" t="s">
        <v>753</v>
      </c>
    </row>
    <row r="259" spans="1:6" x14ac:dyDescent="0.35">
      <c r="A259" t="s">
        <v>151</v>
      </c>
      <c r="B259" t="s">
        <v>718</v>
      </c>
      <c r="C259">
        <f>8760*0.85 / (0.05 * 1000 * 33.3) / 1000000</f>
        <v>4.4720720720720726E-6</v>
      </c>
      <c r="D259" t="s">
        <v>722</v>
      </c>
      <c r="E259" t="s">
        <v>730</v>
      </c>
      <c r="F259" t="s">
        <v>739</v>
      </c>
    </row>
    <row r="260" spans="1:6" x14ac:dyDescent="0.35">
      <c r="A260" t="s">
        <v>151</v>
      </c>
      <c r="B260" t="s">
        <v>719</v>
      </c>
      <c r="C260">
        <f>1/33.3</f>
        <v>3.0030030030030033E-2</v>
      </c>
      <c r="D260" t="s">
        <v>721</v>
      </c>
      <c r="E260" t="s">
        <v>723</v>
      </c>
      <c r="F260" t="s">
        <v>777</v>
      </c>
    </row>
    <row r="261" spans="1:6" x14ac:dyDescent="0.35">
      <c r="A261" t="s">
        <v>152</v>
      </c>
      <c r="B261" t="s">
        <v>718</v>
      </c>
      <c r="C261">
        <f>8760*0.85 / (0.05 * 1000 * 33.3) / 1000000</f>
        <v>4.4720720720720726E-6</v>
      </c>
      <c r="D261" t="s">
        <v>722</v>
      </c>
      <c r="E261" t="s">
        <v>730</v>
      </c>
      <c r="F261" t="s">
        <v>739</v>
      </c>
    </row>
    <row r="262" spans="1:6" x14ac:dyDescent="0.35">
      <c r="A262" t="s">
        <v>152</v>
      </c>
      <c r="B262" t="s">
        <v>719</v>
      </c>
      <c r="C262">
        <f>1/33.3</f>
        <v>3.0030030030030033E-2</v>
      </c>
      <c r="D262" t="s">
        <v>721</v>
      </c>
      <c r="E262" t="s">
        <v>723</v>
      </c>
      <c r="F262" t="s">
        <v>777</v>
      </c>
    </row>
    <row r="263" spans="1:6" x14ac:dyDescent="0.35">
      <c r="A263" t="s">
        <v>153</v>
      </c>
      <c r="B263" t="s">
        <v>718</v>
      </c>
      <c r="C263">
        <f>8760*0.85 / (0.05 * 1000 * 33.3) / 1000000</f>
        <v>4.4720720720720726E-6</v>
      </c>
      <c r="D263" t="s">
        <v>722</v>
      </c>
      <c r="E263" t="s">
        <v>730</v>
      </c>
      <c r="F263" t="s">
        <v>739</v>
      </c>
    </row>
    <row r="264" spans="1:6" x14ac:dyDescent="0.35">
      <c r="A264" t="s">
        <v>153</v>
      </c>
      <c r="B264" t="s">
        <v>719</v>
      </c>
      <c r="C264">
        <f>1/33.3</f>
        <v>3.0030030030030033E-2</v>
      </c>
      <c r="D264" t="s">
        <v>721</v>
      </c>
      <c r="E264" t="s">
        <v>723</v>
      </c>
      <c r="F264" t="s">
        <v>777</v>
      </c>
    </row>
    <row r="265" spans="1:6" x14ac:dyDescent="0.35">
      <c r="A265" t="s">
        <v>154</v>
      </c>
      <c r="B265" t="s">
        <v>718</v>
      </c>
      <c r="C265">
        <v>1</v>
      </c>
      <c r="D265" t="s">
        <v>722</v>
      </c>
      <c r="E265" t="s">
        <v>722</v>
      </c>
    </row>
    <row r="266" spans="1:6" x14ac:dyDescent="0.35">
      <c r="A266" t="s">
        <v>155</v>
      </c>
      <c r="B266" t="s">
        <v>718</v>
      </c>
      <c r="C266">
        <f>0.0000000039744 / 6.99719999999999E-10</f>
        <v>5.6799862802263839</v>
      </c>
      <c r="D266" t="s">
        <v>722</v>
      </c>
      <c r="E266" t="s">
        <v>722</v>
      </c>
      <c r="F266" t="s">
        <v>740</v>
      </c>
    </row>
    <row r="267" spans="1:6" x14ac:dyDescent="0.35">
      <c r="A267" t="s">
        <v>156</v>
      </c>
      <c r="B267" t="s">
        <v>718</v>
      </c>
      <c r="C267">
        <v>1</v>
      </c>
      <c r="D267" t="s">
        <v>722</v>
      </c>
      <c r="E267" t="s">
        <v>722</v>
      </c>
    </row>
    <row r="268" spans="1:6" x14ac:dyDescent="0.35">
      <c r="A268" t="s">
        <v>157</v>
      </c>
      <c r="B268" t="s">
        <v>718</v>
      </c>
      <c r="C268">
        <f>0.0000000039744 / 6.99719999999999E-10</f>
        <v>5.6799862802263839</v>
      </c>
      <c r="D268" t="s">
        <v>722</v>
      </c>
      <c r="E268" t="s">
        <v>722</v>
      </c>
      <c r="F268" t="s">
        <v>740</v>
      </c>
    </row>
    <row r="269" spans="1:6" x14ac:dyDescent="0.35">
      <c r="A269" t="s">
        <v>158</v>
      </c>
      <c r="B269" t="s">
        <v>718</v>
      </c>
      <c r="C269">
        <f>8760*0.85 / (0.05 * 1000 * 33.3) / 1000000</f>
        <v>4.4720720720720726E-6</v>
      </c>
      <c r="D269" t="s">
        <v>722</v>
      </c>
      <c r="E269" t="s">
        <v>730</v>
      </c>
      <c r="F269" t="s">
        <v>739</v>
      </c>
    </row>
    <row r="270" spans="1:6" x14ac:dyDescent="0.35">
      <c r="A270" t="s">
        <v>158</v>
      </c>
      <c r="B270" t="s">
        <v>719</v>
      </c>
      <c r="C270">
        <f>1/33.3</f>
        <v>3.0030030030030033E-2</v>
      </c>
      <c r="D270" t="s">
        <v>721</v>
      </c>
      <c r="E270" t="s">
        <v>723</v>
      </c>
      <c r="F270" t="s">
        <v>777</v>
      </c>
    </row>
    <row r="271" spans="1:6" x14ac:dyDescent="0.35">
      <c r="A271" t="s">
        <v>159</v>
      </c>
      <c r="B271" t="s">
        <v>718</v>
      </c>
      <c r="C271">
        <v>1</v>
      </c>
      <c r="D271" t="s">
        <v>722</v>
      </c>
      <c r="E271" t="s">
        <v>722</v>
      </c>
    </row>
    <row r="272" spans="1:6" x14ac:dyDescent="0.35">
      <c r="A272" t="s">
        <v>160</v>
      </c>
      <c r="B272" t="s">
        <v>718</v>
      </c>
      <c r="C272">
        <f>0.0000000039744 / 6.99719999999999E-10</f>
        <v>5.6799862802263839</v>
      </c>
      <c r="D272" t="s">
        <v>722</v>
      </c>
      <c r="E272" t="s">
        <v>722</v>
      </c>
      <c r="F272" t="s">
        <v>740</v>
      </c>
    </row>
    <row r="273" spans="1:6" x14ac:dyDescent="0.35">
      <c r="A273" t="s">
        <v>161</v>
      </c>
      <c r="B273" t="s">
        <v>718</v>
      </c>
      <c r="C273">
        <v>1</v>
      </c>
      <c r="D273" t="s">
        <v>722</v>
      </c>
      <c r="E273" t="s">
        <v>722</v>
      </c>
    </row>
    <row r="274" spans="1:6" x14ac:dyDescent="0.35">
      <c r="A274" t="s">
        <v>162</v>
      </c>
      <c r="B274" t="s">
        <v>718</v>
      </c>
      <c r="C274">
        <f>0.0000000039744 / 6.99719999999999E-10</f>
        <v>5.6799862802263839</v>
      </c>
      <c r="D274" t="s">
        <v>722</v>
      </c>
      <c r="E274" t="s">
        <v>722</v>
      </c>
      <c r="F274" t="s">
        <v>740</v>
      </c>
    </row>
    <row r="275" spans="1:6" x14ac:dyDescent="0.35">
      <c r="A275" t="s">
        <v>163</v>
      </c>
      <c r="B275" t="s">
        <v>718</v>
      </c>
      <c r="C275">
        <f>1/450 / 1000</f>
        <v>2.2222222222222221E-6</v>
      </c>
      <c r="D275" t="s">
        <v>722</v>
      </c>
      <c r="E275" t="s">
        <v>730</v>
      </c>
      <c r="F275" t="s">
        <v>900</v>
      </c>
    </row>
    <row r="276" spans="1:6" x14ac:dyDescent="0.35">
      <c r="A276" t="s">
        <v>163</v>
      </c>
      <c r="B276" t="s">
        <v>719</v>
      </c>
      <c r="C276">
        <f>1</f>
        <v>1</v>
      </c>
      <c r="D276" t="s">
        <v>723</v>
      </c>
      <c r="E276" t="s">
        <v>723</v>
      </c>
    </row>
    <row r="277" spans="1:6" x14ac:dyDescent="0.35">
      <c r="A277" t="s">
        <v>164</v>
      </c>
      <c r="B277" t="s">
        <v>718</v>
      </c>
      <c r="C277">
        <f>1/450 / 1000</f>
        <v>2.2222222222222221E-6</v>
      </c>
      <c r="D277" t="s">
        <v>722</v>
      </c>
      <c r="E277" t="s">
        <v>730</v>
      </c>
      <c r="F277" t="s">
        <v>900</v>
      </c>
    </row>
    <row r="278" spans="1:6" x14ac:dyDescent="0.35">
      <c r="A278" t="s">
        <v>164</v>
      </c>
      <c r="B278" t="s">
        <v>719</v>
      </c>
      <c r="C278">
        <f>1</f>
        <v>1</v>
      </c>
      <c r="D278" t="s">
        <v>723</v>
      </c>
      <c r="E278" t="s">
        <v>723</v>
      </c>
    </row>
    <row r="279" spans="1:6" x14ac:dyDescent="0.35">
      <c r="A279" t="s">
        <v>165</v>
      </c>
      <c r="B279" t="s">
        <v>718</v>
      </c>
      <c r="C279">
        <f>1/380 / 1000</f>
        <v>2.6315789473684211E-6</v>
      </c>
      <c r="D279" t="s">
        <v>722</v>
      </c>
      <c r="E279" t="s">
        <v>730</v>
      </c>
      <c r="F279" t="s">
        <v>901</v>
      </c>
    </row>
    <row r="280" spans="1:6" x14ac:dyDescent="0.35">
      <c r="A280" t="s">
        <v>165</v>
      </c>
      <c r="B280" t="s">
        <v>719</v>
      </c>
      <c r="C280">
        <v>1</v>
      </c>
      <c r="D280" t="s">
        <v>723</v>
      </c>
      <c r="E280" t="s">
        <v>723</v>
      </c>
    </row>
    <row r="281" spans="1:6" x14ac:dyDescent="0.35">
      <c r="A281" t="s">
        <v>166</v>
      </c>
      <c r="B281" t="s">
        <v>718</v>
      </c>
      <c r="C281">
        <f>1/380 / 1000</f>
        <v>2.6315789473684211E-6</v>
      </c>
      <c r="D281" t="s">
        <v>722</v>
      </c>
      <c r="E281" t="s">
        <v>730</v>
      </c>
      <c r="F281" t="s">
        <v>901</v>
      </c>
    </row>
    <row r="282" spans="1:6" x14ac:dyDescent="0.35">
      <c r="A282" t="s">
        <v>166</v>
      </c>
      <c r="B282" t="s">
        <v>719</v>
      </c>
      <c r="C282">
        <v>1</v>
      </c>
      <c r="D282" t="s">
        <v>723</v>
      </c>
      <c r="E282" t="s">
        <v>723</v>
      </c>
    </row>
    <row r="283" spans="1:6" x14ac:dyDescent="0.35">
      <c r="A283" t="s">
        <v>1003</v>
      </c>
      <c r="B283" t="s">
        <v>718</v>
      </c>
      <c r="C283">
        <f>1 * 8760 * 0.345 / (46 * 150000)</f>
        <v>4.3799999999999997E-4</v>
      </c>
      <c r="D283" t="s">
        <v>722</v>
      </c>
      <c r="E283" t="s">
        <v>732</v>
      </c>
      <c r="F283" t="s">
        <v>1037</v>
      </c>
    </row>
    <row r="284" spans="1:6" x14ac:dyDescent="0.35">
      <c r="A284" t="s">
        <v>1003</v>
      </c>
      <c r="B284" t="s">
        <v>719</v>
      </c>
      <c r="C284">
        <v>1</v>
      </c>
      <c r="D284" t="s">
        <v>725</v>
      </c>
      <c r="E284" t="s">
        <v>725</v>
      </c>
    </row>
    <row r="285" spans="1:6" x14ac:dyDescent="0.35">
      <c r="A285" t="s">
        <v>1004</v>
      </c>
      <c r="B285" t="s">
        <v>718</v>
      </c>
      <c r="C285">
        <f>1 * 8760 * 0.345 / (46 * 150000)</f>
        <v>4.3799999999999997E-4</v>
      </c>
      <c r="D285" t="s">
        <v>722</v>
      </c>
      <c r="E285" t="s">
        <v>732</v>
      </c>
      <c r="F285" t="s">
        <v>1037</v>
      </c>
    </row>
    <row r="286" spans="1:6" x14ac:dyDescent="0.35">
      <c r="A286" t="s">
        <v>1004</v>
      </c>
      <c r="B286" t="s">
        <v>719</v>
      </c>
      <c r="C286">
        <v>1</v>
      </c>
      <c r="D286" t="s">
        <v>725</v>
      </c>
      <c r="E286" t="s">
        <v>725</v>
      </c>
    </row>
    <row r="287" spans="1:6" x14ac:dyDescent="0.35">
      <c r="A287" t="s">
        <v>167</v>
      </c>
      <c r="B287" t="s">
        <v>718</v>
      </c>
      <c r="C287">
        <f>1 * 8760 * 0.345 / (46 * 150000)</f>
        <v>4.3799999999999997E-4</v>
      </c>
      <c r="D287" t="s">
        <v>722</v>
      </c>
      <c r="E287" t="s">
        <v>732</v>
      </c>
      <c r="F287" t="s">
        <v>1037</v>
      </c>
    </row>
    <row r="288" spans="1:6" x14ac:dyDescent="0.35">
      <c r="A288" t="s">
        <v>167</v>
      </c>
      <c r="B288" t="s">
        <v>719</v>
      </c>
      <c r="C288">
        <v>1</v>
      </c>
      <c r="D288" t="s">
        <v>725</v>
      </c>
      <c r="E288" t="s">
        <v>725</v>
      </c>
    </row>
    <row r="289" spans="1:6" x14ac:dyDescent="0.35">
      <c r="A289" t="s">
        <v>168</v>
      </c>
      <c r="B289" t="s">
        <v>718</v>
      </c>
      <c r="C289">
        <f>1 * 8760 * 0.345 / (46 * 150000)</f>
        <v>4.3799999999999997E-4</v>
      </c>
      <c r="D289" t="s">
        <v>722</v>
      </c>
      <c r="E289" t="s">
        <v>732</v>
      </c>
      <c r="F289" t="s">
        <v>1037</v>
      </c>
    </row>
    <row r="290" spans="1:6" x14ac:dyDescent="0.35">
      <c r="A290" t="s">
        <v>168</v>
      </c>
      <c r="B290" t="s">
        <v>719</v>
      </c>
      <c r="C290">
        <v>1</v>
      </c>
      <c r="D290" t="s">
        <v>725</v>
      </c>
      <c r="E290" t="s">
        <v>725</v>
      </c>
    </row>
    <row r="291" spans="1:6" x14ac:dyDescent="0.35">
      <c r="A291" t="s">
        <v>169</v>
      </c>
      <c r="B291" t="s">
        <v>718</v>
      </c>
      <c r="C291">
        <f>8760 * 0.86 / (90 * 7.42) / 1000000</f>
        <v>1.1281221922731357E-5</v>
      </c>
      <c r="D291" t="s">
        <v>722</v>
      </c>
      <c r="E291" t="s">
        <v>730</v>
      </c>
      <c r="F291" t="s">
        <v>904</v>
      </c>
    </row>
    <row r="292" spans="1:6" x14ac:dyDescent="0.35">
      <c r="A292" t="s">
        <v>169</v>
      </c>
      <c r="B292" t="s">
        <v>719</v>
      </c>
      <c r="C292">
        <f>1 / 7.42</f>
        <v>0.13477088948787061</v>
      </c>
      <c r="D292" t="s">
        <v>721</v>
      </c>
      <c r="E292" t="s">
        <v>723</v>
      </c>
      <c r="F292" t="s">
        <v>881</v>
      </c>
    </row>
    <row r="293" spans="1:6" x14ac:dyDescent="0.35">
      <c r="A293" t="s">
        <v>170</v>
      </c>
      <c r="B293" t="s">
        <v>718</v>
      </c>
      <c r="C293">
        <f>3.412969 / (1000 / (8760*0.86)) / 1000000</f>
        <v>2.5711943258399999E-5</v>
      </c>
      <c r="D293" t="s">
        <v>722</v>
      </c>
      <c r="E293" t="s">
        <v>730</v>
      </c>
      <c r="F293" t="s">
        <v>903</v>
      </c>
    </row>
    <row r="294" spans="1:6" x14ac:dyDescent="0.35">
      <c r="A294" t="s">
        <v>170</v>
      </c>
      <c r="B294" t="s">
        <v>719</v>
      </c>
      <c r="C294">
        <f>1 * 3.6 / 43</f>
        <v>8.3720930232558138E-2</v>
      </c>
      <c r="D294" t="s">
        <v>721</v>
      </c>
      <c r="E294" t="s">
        <v>723</v>
      </c>
      <c r="F294" t="s">
        <v>782</v>
      </c>
    </row>
    <row r="295" spans="1:6" x14ac:dyDescent="0.35">
      <c r="A295" t="s">
        <v>171</v>
      </c>
      <c r="B295" t="s">
        <v>718</v>
      </c>
      <c r="C295">
        <f>3.6 * (8760 * 0.86) / (0.05 * 1000 * 41.217) / 1000000</f>
        <v>1.3160084431181309E-5</v>
      </c>
      <c r="D295" t="s">
        <v>722</v>
      </c>
      <c r="E295" t="s">
        <v>730</v>
      </c>
      <c r="F295" t="s">
        <v>902</v>
      </c>
    </row>
    <row r="296" spans="1:6" x14ac:dyDescent="0.35">
      <c r="A296" t="s">
        <v>171</v>
      </c>
      <c r="B296" t="s">
        <v>719</v>
      </c>
      <c r="C296">
        <f>3.6 / 41.217</f>
        <v>8.734260135381032E-2</v>
      </c>
      <c r="D296" t="s">
        <v>721</v>
      </c>
      <c r="E296" t="s">
        <v>723</v>
      </c>
      <c r="F296" t="s">
        <v>882</v>
      </c>
    </row>
    <row r="297" spans="1:6" x14ac:dyDescent="0.35">
      <c r="A297" t="s">
        <v>172</v>
      </c>
      <c r="B297" t="s">
        <v>718</v>
      </c>
      <c r="C297">
        <f>8760*0.85/100 / 1000000</f>
        <v>7.4459999999999988E-5</v>
      </c>
      <c r="D297" t="s">
        <v>722</v>
      </c>
      <c r="E297" t="s">
        <v>731</v>
      </c>
      <c r="F297" t="s">
        <v>905</v>
      </c>
    </row>
    <row r="298" spans="1:6" x14ac:dyDescent="0.35">
      <c r="A298" t="s">
        <v>172</v>
      </c>
      <c r="B298" t="s">
        <v>719</v>
      </c>
      <c r="C298">
        <f>1</f>
        <v>1</v>
      </c>
      <c r="D298" t="s">
        <v>721</v>
      </c>
      <c r="E298" t="s">
        <v>721</v>
      </c>
    </row>
    <row r="299" spans="1:6" x14ac:dyDescent="0.35">
      <c r="A299" t="s">
        <v>173</v>
      </c>
      <c r="B299" t="s">
        <v>718</v>
      </c>
      <c r="C299">
        <v>1</v>
      </c>
      <c r="D299" t="s">
        <v>722</v>
      </c>
      <c r="E299" t="s">
        <v>722</v>
      </c>
    </row>
    <row r="300" spans="1:6" x14ac:dyDescent="0.35">
      <c r="A300" t="s">
        <v>174</v>
      </c>
      <c r="B300" t="s">
        <v>718</v>
      </c>
      <c r="C300">
        <v>-1</v>
      </c>
      <c r="D300" t="s">
        <v>722</v>
      </c>
      <c r="E300" t="s">
        <v>722</v>
      </c>
    </row>
    <row r="301" spans="1:6" x14ac:dyDescent="0.35">
      <c r="A301" t="s">
        <v>175</v>
      </c>
      <c r="B301" t="s">
        <v>718</v>
      </c>
      <c r="C301">
        <f>8760*0.85/1000 / 1000000</f>
        <v>7.4459999999999995E-6</v>
      </c>
      <c r="D301" t="s">
        <v>722</v>
      </c>
      <c r="E301" t="s">
        <v>731</v>
      </c>
      <c r="F301" t="s">
        <v>906</v>
      </c>
    </row>
    <row r="302" spans="1:6" x14ac:dyDescent="0.35">
      <c r="A302" t="s">
        <v>175</v>
      </c>
      <c r="B302" t="s">
        <v>719</v>
      </c>
      <c r="C302">
        <f>1</f>
        <v>1</v>
      </c>
      <c r="D302" t="s">
        <v>721</v>
      </c>
      <c r="E302" t="s">
        <v>721</v>
      </c>
    </row>
    <row r="303" spans="1:6" x14ac:dyDescent="0.35">
      <c r="A303" t="s">
        <v>176</v>
      </c>
      <c r="B303" t="s">
        <v>718</v>
      </c>
      <c r="C303">
        <v>1</v>
      </c>
      <c r="D303" t="s">
        <v>722</v>
      </c>
      <c r="E303" t="s">
        <v>722</v>
      </c>
    </row>
    <row r="304" spans="1:6" x14ac:dyDescent="0.35">
      <c r="A304" t="s">
        <v>177</v>
      </c>
      <c r="B304" t="s">
        <v>718</v>
      </c>
      <c r="C304">
        <v>-1</v>
      </c>
      <c r="D304" t="s">
        <v>722</v>
      </c>
      <c r="E304" t="s">
        <v>722</v>
      </c>
    </row>
    <row r="305" spans="1:6" x14ac:dyDescent="0.35">
      <c r="A305" t="s">
        <v>178</v>
      </c>
      <c r="B305" t="s">
        <v>718</v>
      </c>
      <c r="C305">
        <f xml:space="preserve"> 2.64 / 2</f>
        <v>1.32</v>
      </c>
      <c r="D305" t="s">
        <v>722</v>
      </c>
      <c r="E305" t="s">
        <v>730</v>
      </c>
      <c r="F305" t="s">
        <v>1001</v>
      </c>
    </row>
    <row r="306" spans="1:6" x14ac:dyDescent="0.35">
      <c r="A306" t="s">
        <v>178</v>
      </c>
      <c r="B306" t="s">
        <v>719</v>
      </c>
      <c r="C306">
        <f>3.6/0.123336767415877</f>
        <v>29.188376470588253</v>
      </c>
      <c r="D306" t="s">
        <v>727</v>
      </c>
      <c r="E306" t="s">
        <v>723</v>
      </c>
      <c r="F306" t="s">
        <v>1002</v>
      </c>
    </row>
    <row r="307" spans="1:6" x14ac:dyDescent="0.35">
      <c r="A307" t="s">
        <v>179</v>
      </c>
      <c r="B307" t="s">
        <v>718</v>
      </c>
      <c r="C307">
        <f>1 / 10</f>
        <v>0.1</v>
      </c>
      <c r="D307" t="s">
        <v>722</v>
      </c>
      <c r="E307" t="s">
        <v>730</v>
      </c>
      <c r="F307" t="s">
        <v>907</v>
      </c>
    </row>
    <row r="308" spans="1:6" x14ac:dyDescent="0.35">
      <c r="A308" t="s">
        <v>179</v>
      </c>
      <c r="B308" t="s">
        <v>719</v>
      </c>
      <c r="C308">
        <f>1 * 3600 / 1000</f>
        <v>3.6</v>
      </c>
      <c r="D308" t="s">
        <v>727</v>
      </c>
      <c r="E308" t="s">
        <v>723</v>
      </c>
    </row>
    <row r="309" spans="1:6" x14ac:dyDescent="0.35">
      <c r="A309" t="s">
        <v>180</v>
      </c>
      <c r="B309" t="s">
        <v>718</v>
      </c>
      <c r="C309">
        <f>1 / 10</f>
        <v>0.1</v>
      </c>
      <c r="D309" t="s">
        <v>722</v>
      </c>
      <c r="E309" t="s">
        <v>730</v>
      </c>
      <c r="F309" t="s">
        <v>907</v>
      </c>
    </row>
    <row r="310" spans="1:6" x14ac:dyDescent="0.35">
      <c r="A310" t="s">
        <v>180</v>
      </c>
      <c r="B310" t="s">
        <v>719</v>
      </c>
      <c r="C310">
        <f>1 * 3600 / 1000</f>
        <v>3.6</v>
      </c>
      <c r="D310" t="s">
        <v>727</v>
      </c>
      <c r="E310" t="s">
        <v>723</v>
      </c>
    </row>
    <row r="311" spans="1:6" x14ac:dyDescent="0.35">
      <c r="A311" t="s">
        <v>181</v>
      </c>
      <c r="B311" t="s">
        <v>718</v>
      </c>
      <c r="C311">
        <v>1</v>
      </c>
      <c r="D311" t="s">
        <v>722</v>
      </c>
      <c r="E311" t="s">
        <v>722</v>
      </c>
    </row>
    <row r="312" spans="1:6" x14ac:dyDescent="0.35">
      <c r="A312" t="s">
        <v>182</v>
      </c>
      <c r="B312" t="s">
        <v>718</v>
      </c>
      <c r="C312">
        <f>0.00000044092/0.00000066138</f>
        <v>0.66666666666666663</v>
      </c>
      <c r="D312" t="s">
        <v>722</v>
      </c>
      <c r="E312" t="s">
        <v>722</v>
      </c>
      <c r="F312" t="s">
        <v>754</v>
      </c>
    </row>
    <row r="313" spans="1:6" x14ac:dyDescent="0.35">
      <c r="A313" t="s">
        <v>183</v>
      </c>
      <c r="B313" t="s">
        <v>718</v>
      </c>
      <c r="C313">
        <f>1 / 50</f>
        <v>0.02</v>
      </c>
      <c r="D313" t="s">
        <v>722</v>
      </c>
      <c r="E313" t="s">
        <v>730</v>
      </c>
      <c r="F313" t="s">
        <v>908</v>
      </c>
    </row>
    <row r="314" spans="1:6" x14ac:dyDescent="0.35">
      <c r="A314" t="s">
        <v>183</v>
      </c>
      <c r="B314" t="s">
        <v>719</v>
      </c>
      <c r="C314">
        <f>1 * 3600 / 1000</f>
        <v>3.6</v>
      </c>
      <c r="D314" t="s">
        <v>727</v>
      </c>
      <c r="E314" t="s">
        <v>723</v>
      </c>
    </row>
    <row r="315" spans="1:6" x14ac:dyDescent="0.35">
      <c r="A315" t="s">
        <v>184</v>
      </c>
      <c r="B315" t="s">
        <v>718</v>
      </c>
      <c r="C315">
        <f>0.96 / 50</f>
        <v>1.9199999999999998E-2</v>
      </c>
      <c r="D315" t="s">
        <v>722</v>
      </c>
      <c r="E315" t="s">
        <v>730</v>
      </c>
      <c r="F315" t="s">
        <v>947</v>
      </c>
    </row>
    <row r="316" spans="1:6" x14ac:dyDescent="0.35">
      <c r="A316" t="s">
        <v>184</v>
      </c>
      <c r="B316" t="s">
        <v>719</v>
      </c>
      <c r="C316">
        <f>3.6/0.2278</f>
        <v>15.803336259877085</v>
      </c>
      <c r="D316" t="s">
        <v>727</v>
      </c>
      <c r="E316" t="s">
        <v>723</v>
      </c>
      <c r="F316" t="s">
        <v>883</v>
      </c>
    </row>
    <row r="317" spans="1:6" x14ac:dyDescent="0.35">
      <c r="A317" t="s">
        <v>185</v>
      </c>
      <c r="B317" t="s">
        <v>718</v>
      </c>
      <c r="C317">
        <v>1</v>
      </c>
      <c r="D317" t="s">
        <v>722</v>
      </c>
      <c r="E317" t="s">
        <v>722</v>
      </c>
    </row>
    <row r="318" spans="1:6" x14ac:dyDescent="0.35">
      <c r="A318" t="s">
        <v>186</v>
      </c>
      <c r="B318" t="s">
        <v>718</v>
      </c>
      <c r="C318">
        <v>1</v>
      </c>
      <c r="D318" t="s">
        <v>722</v>
      </c>
      <c r="E318" t="s">
        <v>722</v>
      </c>
    </row>
    <row r="319" spans="1:6" x14ac:dyDescent="0.35">
      <c r="A319" t="s">
        <v>187</v>
      </c>
      <c r="B319" t="s">
        <v>718</v>
      </c>
      <c r="C319">
        <v>1</v>
      </c>
      <c r="D319" t="s">
        <v>722</v>
      </c>
      <c r="E319" t="s">
        <v>722</v>
      </c>
    </row>
    <row r="320" spans="1:6" x14ac:dyDescent="0.35">
      <c r="A320" t="s">
        <v>188</v>
      </c>
      <c r="B320" t="s">
        <v>718</v>
      </c>
      <c r="C320">
        <f>1/10</f>
        <v>0.1</v>
      </c>
      <c r="D320" t="s">
        <v>722</v>
      </c>
      <c r="E320" t="s">
        <v>730</v>
      </c>
      <c r="F320" t="s">
        <v>948</v>
      </c>
    </row>
    <row r="321" spans="1:6" x14ac:dyDescent="0.35">
      <c r="A321" t="s">
        <v>188</v>
      </c>
      <c r="B321" t="s">
        <v>719</v>
      </c>
      <c r="C321">
        <f>1 * 3.6</f>
        <v>3.6</v>
      </c>
      <c r="D321" t="s">
        <v>727</v>
      </c>
      <c r="E321" t="s">
        <v>723</v>
      </c>
    </row>
    <row r="322" spans="1:6" x14ac:dyDescent="0.35">
      <c r="A322" t="s">
        <v>189</v>
      </c>
      <c r="B322" t="s">
        <v>718</v>
      </c>
      <c r="C322">
        <v>1</v>
      </c>
      <c r="D322" t="s">
        <v>722</v>
      </c>
      <c r="E322" t="s">
        <v>722</v>
      </c>
    </row>
    <row r="323" spans="1:6" x14ac:dyDescent="0.35">
      <c r="A323" t="s">
        <v>190</v>
      </c>
      <c r="B323" t="s">
        <v>718</v>
      </c>
      <c r="C323">
        <f>0.00000044092/0.00000066138</f>
        <v>0.66666666666666663</v>
      </c>
      <c r="D323" t="s">
        <v>722</v>
      </c>
      <c r="E323" t="s">
        <v>722</v>
      </c>
      <c r="F323" t="s">
        <v>754</v>
      </c>
    </row>
    <row r="324" spans="1:6" x14ac:dyDescent="0.35">
      <c r="A324" t="s">
        <v>191</v>
      </c>
      <c r="B324" t="s">
        <v>718</v>
      </c>
      <c r="C324">
        <f>10/1000</f>
        <v>0.01</v>
      </c>
      <c r="D324" t="s">
        <v>722</v>
      </c>
      <c r="E324" t="s">
        <v>722</v>
      </c>
      <c r="F324" t="s">
        <v>950</v>
      </c>
    </row>
    <row r="325" spans="1:6" x14ac:dyDescent="0.35">
      <c r="A325" t="s">
        <v>192</v>
      </c>
      <c r="B325" t="s">
        <v>718</v>
      </c>
      <c r="C325">
        <f>1/50</f>
        <v>0.02</v>
      </c>
      <c r="D325" t="s">
        <v>722</v>
      </c>
      <c r="E325" t="s">
        <v>730</v>
      </c>
      <c r="F325" t="s">
        <v>949</v>
      </c>
    </row>
    <row r="326" spans="1:6" x14ac:dyDescent="0.35">
      <c r="A326" t="s">
        <v>192</v>
      </c>
      <c r="B326" t="s">
        <v>719</v>
      </c>
      <c r="C326">
        <f>1 * 3.6</f>
        <v>3.6</v>
      </c>
      <c r="D326" t="s">
        <v>727</v>
      </c>
      <c r="E326" t="s">
        <v>723</v>
      </c>
    </row>
    <row r="327" spans="1:6" x14ac:dyDescent="0.35">
      <c r="A327" t="s">
        <v>193</v>
      </c>
      <c r="B327" t="s">
        <v>718</v>
      </c>
      <c r="C327">
        <v>1</v>
      </c>
      <c r="D327" t="s">
        <v>722</v>
      </c>
      <c r="E327" t="s">
        <v>722</v>
      </c>
    </row>
    <row r="328" spans="1:6" x14ac:dyDescent="0.35">
      <c r="A328" t="s">
        <v>194</v>
      </c>
      <c r="B328" t="s">
        <v>718</v>
      </c>
      <c r="C328">
        <f>50/1000</f>
        <v>0.05</v>
      </c>
      <c r="D328" t="s">
        <v>722</v>
      </c>
      <c r="E328" t="s">
        <v>722</v>
      </c>
      <c r="F328" t="s">
        <v>951</v>
      </c>
    </row>
    <row r="329" spans="1:6" x14ac:dyDescent="0.35">
      <c r="A329" t="s">
        <v>195</v>
      </c>
      <c r="B329" t="s">
        <v>718</v>
      </c>
      <c r="C329">
        <f>1 / 5</f>
        <v>0.2</v>
      </c>
      <c r="D329" t="s">
        <v>722</v>
      </c>
      <c r="E329" t="s">
        <v>730</v>
      </c>
      <c r="F329" t="s">
        <v>912</v>
      </c>
    </row>
    <row r="330" spans="1:6" x14ac:dyDescent="0.35">
      <c r="A330" t="s">
        <v>195</v>
      </c>
      <c r="B330" t="s">
        <v>719</v>
      </c>
      <c r="C330">
        <v>1</v>
      </c>
      <c r="D330" t="s">
        <v>723</v>
      </c>
      <c r="E330" t="s">
        <v>723</v>
      </c>
    </row>
    <row r="331" spans="1:6" x14ac:dyDescent="0.35">
      <c r="A331" t="s">
        <v>196</v>
      </c>
      <c r="B331" t="s">
        <v>718</v>
      </c>
      <c r="C331">
        <f>1 / 10</f>
        <v>0.1</v>
      </c>
      <c r="D331" t="s">
        <v>722</v>
      </c>
      <c r="E331" t="s">
        <v>730</v>
      </c>
      <c r="F331" t="s">
        <v>911</v>
      </c>
    </row>
    <row r="332" spans="1:6" x14ac:dyDescent="0.35">
      <c r="A332" t="s">
        <v>196</v>
      </c>
      <c r="B332" t="s">
        <v>719</v>
      </c>
      <c r="C332">
        <f>1 * 3.6</f>
        <v>3.6</v>
      </c>
      <c r="D332" t="s">
        <v>727</v>
      </c>
      <c r="E332" t="s">
        <v>723</v>
      </c>
    </row>
    <row r="333" spans="1:6" x14ac:dyDescent="0.35">
      <c r="A333" t="s">
        <v>197</v>
      </c>
      <c r="B333" t="s">
        <v>718</v>
      </c>
      <c r="C333">
        <f>1 / 0.7</f>
        <v>1.4285714285714286</v>
      </c>
      <c r="D333" t="s">
        <v>728</v>
      </c>
      <c r="E333" t="s">
        <v>730</v>
      </c>
      <c r="F333" t="s">
        <v>756</v>
      </c>
    </row>
    <row r="334" spans="1:6" x14ac:dyDescent="0.35">
      <c r="A334" t="s">
        <v>198</v>
      </c>
      <c r="B334" t="s">
        <v>718</v>
      </c>
      <c r="C334">
        <f>1 / 4</f>
        <v>0.25</v>
      </c>
      <c r="D334" t="s">
        <v>722</v>
      </c>
      <c r="E334" t="s">
        <v>730</v>
      </c>
      <c r="F334" t="s">
        <v>910</v>
      </c>
    </row>
    <row r="335" spans="1:6" x14ac:dyDescent="0.35">
      <c r="A335" t="s">
        <v>198</v>
      </c>
      <c r="B335" t="s">
        <v>719</v>
      </c>
      <c r="C335">
        <f>1 * 3.6</f>
        <v>3.6</v>
      </c>
      <c r="D335" t="s">
        <v>727</v>
      </c>
      <c r="E335" t="s">
        <v>723</v>
      </c>
    </row>
    <row r="336" spans="1:6" x14ac:dyDescent="0.35">
      <c r="A336" t="s">
        <v>199</v>
      </c>
      <c r="B336" t="s">
        <v>718</v>
      </c>
      <c r="C336">
        <f>0.0000000641/0.000000601</f>
        <v>0.10665557404326122</v>
      </c>
      <c r="D336" t="s">
        <v>722</v>
      </c>
      <c r="E336" t="s">
        <v>722</v>
      </c>
      <c r="F336" t="s">
        <v>757</v>
      </c>
    </row>
    <row r="337" spans="1:6" x14ac:dyDescent="0.35">
      <c r="A337" t="s">
        <v>200</v>
      </c>
      <c r="B337" t="s">
        <v>718</v>
      </c>
      <c r="C337">
        <v>1</v>
      </c>
      <c r="D337" t="s">
        <v>722</v>
      </c>
      <c r="E337" t="s">
        <v>722</v>
      </c>
    </row>
    <row r="338" spans="1:6" x14ac:dyDescent="0.35">
      <c r="A338" t="s">
        <v>201</v>
      </c>
      <c r="B338" t="s">
        <v>718</v>
      </c>
      <c r="C338">
        <f>1 / 20 / 1000</f>
        <v>5.0000000000000002E-5</v>
      </c>
      <c r="D338" t="s">
        <v>722</v>
      </c>
      <c r="E338" t="s">
        <v>730</v>
      </c>
      <c r="F338" t="s">
        <v>913</v>
      </c>
    </row>
    <row r="339" spans="1:6" x14ac:dyDescent="0.35">
      <c r="A339" t="s">
        <v>202</v>
      </c>
      <c r="B339" t="s">
        <v>719</v>
      </c>
      <c r="C339">
        <f>1</f>
        <v>1</v>
      </c>
      <c r="D339" t="s">
        <v>721</v>
      </c>
      <c r="E339" t="s">
        <v>721</v>
      </c>
    </row>
    <row r="340" spans="1:6" x14ac:dyDescent="0.35">
      <c r="A340" t="s">
        <v>203</v>
      </c>
      <c r="B340" t="s">
        <v>718</v>
      </c>
      <c r="C340">
        <f>(1 / 100) * 1.0417</f>
        <v>1.0417000000000001E-2</v>
      </c>
      <c r="D340" t="s">
        <v>722</v>
      </c>
      <c r="E340" t="s">
        <v>730</v>
      </c>
      <c r="F340" t="s">
        <v>758</v>
      </c>
    </row>
    <row r="341" spans="1:6" x14ac:dyDescent="0.35">
      <c r="A341" t="s">
        <v>203</v>
      </c>
      <c r="B341" t="s">
        <v>719</v>
      </c>
      <c r="C341">
        <f>1 * 3.6</f>
        <v>3.6</v>
      </c>
      <c r="D341" t="s">
        <v>727</v>
      </c>
      <c r="E341" t="s">
        <v>723</v>
      </c>
    </row>
    <row r="342" spans="1:6" x14ac:dyDescent="0.35">
      <c r="A342" t="s">
        <v>204</v>
      </c>
      <c r="B342" t="s">
        <v>718</v>
      </c>
      <c r="C342">
        <f>1.0526/1000</f>
        <v>1.0525999999999999E-3</v>
      </c>
      <c r="D342" t="s">
        <v>722</v>
      </c>
      <c r="E342" t="s">
        <v>730</v>
      </c>
      <c r="F342" t="s">
        <v>759</v>
      </c>
    </row>
    <row r="343" spans="1:6" x14ac:dyDescent="0.35">
      <c r="A343" t="s">
        <v>204</v>
      </c>
      <c r="B343" t="s">
        <v>719</v>
      </c>
      <c r="C343">
        <f>1 * 3.6</f>
        <v>3.6</v>
      </c>
      <c r="D343" t="s">
        <v>727</v>
      </c>
      <c r="E343" t="s">
        <v>723</v>
      </c>
    </row>
    <row r="344" spans="1:6" x14ac:dyDescent="0.35">
      <c r="A344" t="s">
        <v>205</v>
      </c>
      <c r="B344" t="s">
        <v>718</v>
      </c>
      <c r="C344">
        <v>1</v>
      </c>
      <c r="D344" t="s">
        <v>722</v>
      </c>
      <c r="E344" t="s">
        <v>722</v>
      </c>
    </row>
    <row r="345" spans="1:6" x14ac:dyDescent="0.35">
      <c r="A345" t="s">
        <v>206</v>
      </c>
      <c r="B345" t="s">
        <v>718</v>
      </c>
      <c r="C345">
        <f>3.89863157894737E-08/0.000000002924</f>
        <v>13.333213334293331</v>
      </c>
      <c r="D345" t="s">
        <v>722</v>
      </c>
      <c r="E345" t="s">
        <v>722</v>
      </c>
      <c r="F345" t="s">
        <v>754</v>
      </c>
    </row>
    <row r="346" spans="1:6" x14ac:dyDescent="0.35">
      <c r="A346" t="s">
        <v>207</v>
      </c>
      <c r="B346" t="s">
        <v>718</v>
      </c>
      <c r="C346">
        <f>1 / 1000</f>
        <v>1E-3</v>
      </c>
      <c r="D346" t="s">
        <v>722</v>
      </c>
      <c r="E346" t="s">
        <v>730</v>
      </c>
      <c r="F346" t="s">
        <v>914</v>
      </c>
    </row>
    <row r="347" spans="1:6" x14ac:dyDescent="0.35">
      <c r="A347" t="s">
        <v>207</v>
      </c>
      <c r="B347" t="s">
        <v>719</v>
      </c>
      <c r="C347">
        <f>1 * 3.6</f>
        <v>3.6</v>
      </c>
      <c r="D347" t="s">
        <v>727</v>
      </c>
      <c r="E347" t="s">
        <v>723</v>
      </c>
    </row>
    <row r="348" spans="1:6" x14ac:dyDescent="0.35">
      <c r="A348" t="s">
        <v>208</v>
      </c>
      <c r="B348" t="s">
        <v>718</v>
      </c>
      <c r="C348">
        <v>1</v>
      </c>
      <c r="D348" t="s">
        <v>722</v>
      </c>
      <c r="E348" t="s">
        <v>722</v>
      </c>
    </row>
    <row r="349" spans="1:6" x14ac:dyDescent="0.35">
      <c r="A349" t="s">
        <v>209</v>
      </c>
      <c r="B349" t="s">
        <v>718</v>
      </c>
      <c r="C349">
        <v>1</v>
      </c>
      <c r="D349" t="s">
        <v>722</v>
      </c>
      <c r="E349" t="s">
        <v>722</v>
      </c>
    </row>
    <row r="350" spans="1:6" x14ac:dyDescent="0.35">
      <c r="A350" t="s">
        <v>210</v>
      </c>
      <c r="B350" t="s">
        <v>718</v>
      </c>
      <c r="C350">
        <f>1 * 1.25 / 1000</f>
        <v>1.25E-3</v>
      </c>
      <c r="D350" t="s">
        <v>722</v>
      </c>
      <c r="E350" t="s">
        <v>730</v>
      </c>
      <c r="F350" t="s">
        <v>952</v>
      </c>
    </row>
    <row r="351" spans="1:6" x14ac:dyDescent="0.35">
      <c r="A351" t="s">
        <v>210</v>
      </c>
      <c r="B351" t="s">
        <v>719</v>
      </c>
      <c r="C351">
        <f>3.6 / 0.1636</f>
        <v>22.004889975550125</v>
      </c>
      <c r="D351" t="s">
        <v>727</v>
      </c>
      <c r="E351" t="s">
        <v>723</v>
      </c>
      <c r="F351" t="s">
        <v>884</v>
      </c>
    </row>
    <row r="352" spans="1:6" x14ac:dyDescent="0.35">
      <c r="A352" t="s">
        <v>211</v>
      </c>
      <c r="B352" t="s">
        <v>718</v>
      </c>
      <c r="C352">
        <v>1</v>
      </c>
      <c r="D352" t="s">
        <v>722</v>
      </c>
      <c r="E352" t="s">
        <v>722</v>
      </c>
    </row>
    <row r="353" spans="1:6" x14ac:dyDescent="0.35">
      <c r="A353" t="s">
        <v>212</v>
      </c>
      <c r="B353" t="s">
        <v>718</v>
      </c>
      <c r="C353">
        <v>1</v>
      </c>
      <c r="D353" t="s">
        <v>722</v>
      </c>
      <c r="E353" t="s">
        <v>722</v>
      </c>
    </row>
    <row r="354" spans="1:6" x14ac:dyDescent="0.35">
      <c r="A354" t="s">
        <v>213</v>
      </c>
      <c r="B354" t="s">
        <v>718</v>
      </c>
      <c r="C354">
        <v>1</v>
      </c>
      <c r="D354" t="s">
        <v>722</v>
      </c>
      <c r="E354" t="s">
        <v>722</v>
      </c>
    </row>
    <row r="355" spans="1:6" x14ac:dyDescent="0.35">
      <c r="A355" t="s">
        <v>214</v>
      </c>
      <c r="B355" t="s">
        <v>718</v>
      </c>
      <c r="C355">
        <f>1 * 0.44 / 200</f>
        <v>2.2000000000000001E-3</v>
      </c>
      <c r="D355" t="s">
        <v>722</v>
      </c>
      <c r="E355" t="s">
        <v>730</v>
      </c>
      <c r="F355" t="s">
        <v>915</v>
      </c>
    </row>
    <row r="356" spans="1:6" x14ac:dyDescent="0.35">
      <c r="A356" t="s">
        <v>214</v>
      </c>
      <c r="B356" t="s">
        <v>719</v>
      </c>
      <c r="C356">
        <f>1 * 3.6</f>
        <v>3.6</v>
      </c>
      <c r="D356" t="s">
        <v>727</v>
      </c>
      <c r="E356" t="s">
        <v>723</v>
      </c>
    </row>
    <row r="357" spans="1:6" x14ac:dyDescent="0.35">
      <c r="A357" t="s">
        <v>215</v>
      </c>
      <c r="B357" t="s">
        <v>718</v>
      </c>
      <c r="C357">
        <f>3.6 * 1000 * 8760 * 0.85 / (100 * 12.35 * 1000000 * 1/2.22)</f>
        <v>4.8184965182186242E-2</v>
      </c>
      <c r="D357" t="s">
        <v>722</v>
      </c>
      <c r="E357" t="s">
        <v>722</v>
      </c>
      <c r="F357" t="s">
        <v>760</v>
      </c>
    </row>
    <row r="358" spans="1:6" x14ac:dyDescent="0.35">
      <c r="A358" t="s">
        <v>216</v>
      </c>
      <c r="B358" t="s">
        <v>718</v>
      </c>
      <c r="C358">
        <f>1 * 0.44 / 200</f>
        <v>2.2000000000000001E-3</v>
      </c>
      <c r="D358" t="s">
        <v>722</v>
      </c>
      <c r="E358" t="s">
        <v>730</v>
      </c>
      <c r="F358" t="s">
        <v>915</v>
      </c>
    </row>
    <row r="359" spans="1:6" x14ac:dyDescent="0.35">
      <c r="A359" t="s">
        <v>216</v>
      </c>
      <c r="B359" t="s">
        <v>719</v>
      </c>
      <c r="C359">
        <f>1 * 3.6</f>
        <v>3.6</v>
      </c>
      <c r="D359" t="s">
        <v>727</v>
      </c>
      <c r="E359" t="s">
        <v>723</v>
      </c>
    </row>
    <row r="360" spans="1:6" x14ac:dyDescent="0.35">
      <c r="A360" t="s">
        <v>217</v>
      </c>
      <c r="B360" t="s">
        <v>718</v>
      </c>
      <c r="C360">
        <f>3.6 * 1000 * 8760 * 0.85 / (100 * 12.35 * 1000000 * 1/2.22)</f>
        <v>4.8184965182186242E-2</v>
      </c>
      <c r="D360" t="s">
        <v>722</v>
      </c>
      <c r="E360" t="s">
        <v>722</v>
      </c>
      <c r="F360" t="s">
        <v>760</v>
      </c>
    </row>
    <row r="361" spans="1:6" x14ac:dyDescent="0.35">
      <c r="A361" t="s">
        <v>218</v>
      </c>
      <c r="B361" t="s">
        <v>718</v>
      </c>
      <c r="C361">
        <v>1</v>
      </c>
      <c r="D361" t="s">
        <v>722</v>
      </c>
      <c r="E361" t="s">
        <v>722</v>
      </c>
      <c r="F361" t="s">
        <v>755</v>
      </c>
    </row>
    <row r="362" spans="1:6" x14ac:dyDescent="0.35">
      <c r="A362" t="s">
        <v>219</v>
      </c>
      <c r="B362" t="s">
        <v>718</v>
      </c>
      <c r="C362">
        <v>1</v>
      </c>
      <c r="D362" t="s">
        <v>722</v>
      </c>
      <c r="E362" t="s">
        <v>722</v>
      </c>
      <c r="F362" t="s">
        <v>755</v>
      </c>
    </row>
    <row r="363" spans="1:6" x14ac:dyDescent="0.35">
      <c r="A363" t="s">
        <v>220</v>
      </c>
      <c r="B363" t="s">
        <v>718</v>
      </c>
      <c r="C363">
        <f>1 / (6667*0.45)</f>
        <v>3.3331666749995831E-4</v>
      </c>
      <c r="D363" t="s">
        <v>722</v>
      </c>
      <c r="E363" t="s">
        <v>730</v>
      </c>
      <c r="F363" t="s">
        <v>916</v>
      </c>
    </row>
    <row r="364" spans="1:6" x14ac:dyDescent="0.35">
      <c r="A364" t="s">
        <v>220</v>
      </c>
      <c r="B364" t="s">
        <v>719</v>
      </c>
      <c r="C364">
        <f>3.6 / 0.3373</f>
        <v>10.672991402312482</v>
      </c>
      <c r="D364" t="s">
        <v>727</v>
      </c>
      <c r="E364" t="s">
        <v>723</v>
      </c>
      <c r="F364" t="s">
        <v>885</v>
      </c>
    </row>
    <row r="365" spans="1:6" x14ac:dyDescent="0.35">
      <c r="A365" t="s">
        <v>221</v>
      </c>
      <c r="B365" t="s">
        <v>718</v>
      </c>
      <c r="C365">
        <v>1</v>
      </c>
      <c r="D365" t="s">
        <v>722</v>
      </c>
      <c r="E365" t="s">
        <v>722</v>
      </c>
    </row>
    <row r="366" spans="1:6" x14ac:dyDescent="0.35">
      <c r="A366" t="s">
        <v>222</v>
      </c>
      <c r="B366" t="s">
        <v>718</v>
      </c>
      <c r="C366">
        <v>1</v>
      </c>
      <c r="D366" t="s">
        <v>722</v>
      </c>
      <c r="E366" t="s">
        <v>722</v>
      </c>
    </row>
    <row r="367" spans="1:6" x14ac:dyDescent="0.35">
      <c r="A367" t="s">
        <v>223</v>
      </c>
      <c r="B367" t="s">
        <v>718</v>
      </c>
      <c r="C367">
        <f>6667*0.45/1000</f>
        <v>3.0001500000000001</v>
      </c>
      <c r="D367" t="s">
        <v>722</v>
      </c>
      <c r="E367" t="s">
        <v>722</v>
      </c>
      <c r="F367" t="s">
        <v>953</v>
      </c>
    </row>
    <row r="368" spans="1:6" x14ac:dyDescent="0.35">
      <c r="A368" t="s">
        <v>224</v>
      </c>
      <c r="B368" t="s">
        <v>718</v>
      </c>
      <c r="C368">
        <f>8760 * 0.85 * 3.6 / 1483 / 1000000</f>
        <v>1.8075252865812543E-5</v>
      </c>
      <c r="D368" t="s">
        <v>722</v>
      </c>
      <c r="E368" t="s">
        <v>730</v>
      </c>
      <c r="F368" t="s">
        <v>917</v>
      </c>
    </row>
    <row r="369" spans="1:6" x14ac:dyDescent="0.35">
      <c r="A369" t="s">
        <v>224</v>
      </c>
      <c r="B369" t="s">
        <v>719</v>
      </c>
      <c r="C369">
        <f>1 * 3.6</f>
        <v>3.6</v>
      </c>
      <c r="D369" t="s">
        <v>727</v>
      </c>
      <c r="E369" t="s">
        <v>723</v>
      </c>
    </row>
    <row r="370" spans="1:6" x14ac:dyDescent="0.35">
      <c r="A370" t="s">
        <v>225</v>
      </c>
      <c r="B370" t="s">
        <v>718</v>
      </c>
      <c r="C370">
        <f>1 / 30</f>
        <v>3.3333333333333333E-2</v>
      </c>
      <c r="D370" t="s">
        <v>722</v>
      </c>
      <c r="E370" t="s">
        <v>730</v>
      </c>
      <c r="F370" t="s">
        <v>918</v>
      </c>
    </row>
    <row r="371" spans="1:6" x14ac:dyDescent="0.35">
      <c r="A371" t="s">
        <v>225</v>
      </c>
      <c r="B371" t="s">
        <v>719</v>
      </c>
      <c r="C371">
        <f>1 * 3.6</f>
        <v>3.6</v>
      </c>
      <c r="D371" t="s">
        <v>727</v>
      </c>
      <c r="E371" t="s">
        <v>723</v>
      </c>
    </row>
    <row r="372" spans="1:6" x14ac:dyDescent="0.35">
      <c r="A372" t="s">
        <v>226</v>
      </c>
      <c r="B372" t="s">
        <v>718</v>
      </c>
      <c r="C372">
        <f>1 / 20 / 1000</f>
        <v>5.0000000000000002E-5</v>
      </c>
      <c r="D372" t="s">
        <v>722</v>
      </c>
      <c r="E372" t="s">
        <v>730</v>
      </c>
      <c r="F372" t="s">
        <v>913</v>
      </c>
    </row>
    <row r="373" spans="1:6" x14ac:dyDescent="0.35">
      <c r="A373" t="s">
        <v>227</v>
      </c>
      <c r="B373" t="s">
        <v>717</v>
      </c>
      <c r="C373">
        <f>1 / 11.83</f>
        <v>8.453085376162299E-2</v>
      </c>
      <c r="D373" t="s">
        <v>721</v>
      </c>
      <c r="E373" t="s">
        <v>723</v>
      </c>
      <c r="F373" t="s">
        <v>761</v>
      </c>
    </row>
    <row r="374" spans="1:6" x14ac:dyDescent="0.35">
      <c r="A374" t="s">
        <v>228</v>
      </c>
      <c r="B374" t="s">
        <v>718</v>
      </c>
      <c r="C374">
        <f>1 / (16000*846*11.83)</f>
        <v>6.2448916786068992E-9</v>
      </c>
      <c r="D374" t="s">
        <v>722</v>
      </c>
      <c r="E374" t="s">
        <v>723</v>
      </c>
      <c r="F374" t="s">
        <v>919</v>
      </c>
    </row>
    <row r="375" spans="1:6" x14ac:dyDescent="0.35">
      <c r="A375" t="s">
        <v>229</v>
      </c>
      <c r="B375" t="s">
        <v>719</v>
      </c>
      <c r="C375">
        <v>1</v>
      </c>
      <c r="D375" t="s">
        <v>721</v>
      </c>
      <c r="E375" t="s">
        <v>721</v>
      </c>
    </row>
    <row r="376" spans="1:6" x14ac:dyDescent="0.35">
      <c r="A376" t="s">
        <v>230</v>
      </c>
      <c r="B376" t="s">
        <v>719</v>
      </c>
      <c r="C376">
        <v>1</v>
      </c>
      <c r="D376" t="s">
        <v>721</v>
      </c>
      <c r="E376" t="s">
        <v>721</v>
      </c>
    </row>
    <row r="377" spans="1:6" x14ac:dyDescent="0.35">
      <c r="A377" t="s">
        <v>231</v>
      </c>
      <c r="B377" t="s">
        <v>718</v>
      </c>
      <c r="C377">
        <f>12581/35710000</f>
        <v>3.5231027723326797E-4</v>
      </c>
      <c r="D377" t="s">
        <v>726</v>
      </c>
      <c r="E377" t="s">
        <v>730</v>
      </c>
      <c r="F377" t="s">
        <v>1028</v>
      </c>
    </row>
    <row r="378" spans="1:6" x14ac:dyDescent="0.35">
      <c r="A378" t="s">
        <v>232</v>
      </c>
      <c r="B378" t="s">
        <v>717</v>
      </c>
      <c r="C378">
        <f>1</f>
        <v>1</v>
      </c>
      <c r="D378" t="s">
        <v>723</v>
      </c>
      <c r="E378" t="s">
        <v>723</v>
      </c>
    </row>
    <row r="379" spans="1:6" x14ac:dyDescent="0.35">
      <c r="A379" t="s">
        <v>233</v>
      </c>
      <c r="B379" t="s">
        <v>717</v>
      </c>
      <c r="C379">
        <f>-1</f>
        <v>-1</v>
      </c>
      <c r="D379" t="s">
        <v>723</v>
      </c>
      <c r="E379" t="s">
        <v>723</v>
      </c>
      <c r="F379" t="s">
        <v>762</v>
      </c>
    </row>
    <row r="380" spans="1:6" x14ac:dyDescent="0.35">
      <c r="A380" t="s">
        <v>234</v>
      </c>
      <c r="B380" t="s">
        <v>718</v>
      </c>
      <c r="C380">
        <f>1 / 0.114</f>
        <v>8.7719298245614024</v>
      </c>
      <c r="D380" t="s">
        <v>721</v>
      </c>
      <c r="E380" t="s">
        <v>723</v>
      </c>
      <c r="F380" t="s">
        <v>741</v>
      </c>
    </row>
    <row r="381" spans="1:6" x14ac:dyDescent="0.35">
      <c r="A381" t="s">
        <v>235</v>
      </c>
      <c r="B381" t="s">
        <v>719</v>
      </c>
      <c r="C381">
        <v>1</v>
      </c>
      <c r="D381" t="s">
        <v>721</v>
      </c>
      <c r="E381" t="s">
        <v>721</v>
      </c>
    </row>
    <row r="382" spans="1:6" x14ac:dyDescent="0.35">
      <c r="A382" t="s">
        <v>236</v>
      </c>
      <c r="B382" t="s">
        <v>717</v>
      </c>
      <c r="C382">
        <f>1 / 13.28</f>
        <v>7.5301204819277115E-2</v>
      </c>
      <c r="D382" t="s">
        <v>721</v>
      </c>
      <c r="E382" t="s">
        <v>723</v>
      </c>
      <c r="F382" t="s">
        <v>763</v>
      </c>
    </row>
    <row r="383" spans="1:6" x14ac:dyDescent="0.35">
      <c r="A383" t="s">
        <v>237</v>
      </c>
      <c r="B383" t="s">
        <v>718</v>
      </c>
      <c r="C383">
        <f>3.6 * 8760 * 0.86 / (0.05 * 1000 * 50.285) / 1000000</f>
        <v>1.0786898677538034E-5</v>
      </c>
      <c r="D383" t="s">
        <v>722</v>
      </c>
      <c r="E383" t="s">
        <v>730</v>
      </c>
      <c r="F383" t="s">
        <v>764</v>
      </c>
    </row>
    <row r="384" spans="1:6" x14ac:dyDescent="0.35">
      <c r="A384" t="s">
        <v>237</v>
      </c>
      <c r="B384" t="s">
        <v>719</v>
      </c>
      <c r="C384">
        <f>3.6 / 50.285</f>
        <v>7.1591926021676452E-2</v>
      </c>
      <c r="D384" t="s">
        <v>721</v>
      </c>
      <c r="E384" t="s">
        <v>723</v>
      </c>
      <c r="F384" t="s">
        <v>886</v>
      </c>
    </row>
    <row r="385" spans="1:6" x14ac:dyDescent="0.35">
      <c r="A385" t="s">
        <v>238</v>
      </c>
      <c r="B385" t="s">
        <v>718</v>
      </c>
      <c r="C385">
        <f>3.6 * 8760 * 0.86 / (0.05 * 1000 * 14.55) / 1000000</f>
        <v>3.7279670103092786E-5</v>
      </c>
      <c r="D385" t="s">
        <v>722</v>
      </c>
      <c r="E385" t="s">
        <v>730</v>
      </c>
      <c r="F385" t="s">
        <v>765</v>
      </c>
    </row>
    <row r="386" spans="1:6" x14ac:dyDescent="0.35">
      <c r="A386" t="s">
        <v>238</v>
      </c>
      <c r="B386" t="s">
        <v>719</v>
      </c>
      <c r="C386">
        <f>3.6 / 14.55</f>
        <v>0.24742268041237112</v>
      </c>
      <c r="D386" t="s">
        <v>721</v>
      </c>
      <c r="E386" t="s">
        <v>723</v>
      </c>
      <c r="F386" t="s">
        <v>734</v>
      </c>
    </row>
    <row r="387" spans="1:6" x14ac:dyDescent="0.35">
      <c r="A387" t="s">
        <v>239</v>
      </c>
      <c r="B387" t="s">
        <v>718</v>
      </c>
      <c r="C387">
        <f>3.6 * 8760 * 0.86 / (0.05 * 1000 * 50.285) / 1000000</f>
        <v>1.0786898677538034E-5</v>
      </c>
      <c r="D387" t="s">
        <v>722</v>
      </c>
      <c r="E387" t="s">
        <v>730</v>
      </c>
      <c r="F387" t="s">
        <v>764</v>
      </c>
    </row>
    <row r="388" spans="1:6" x14ac:dyDescent="0.35">
      <c r="A388" t="s">
        <v>239</v>
      </c>
      <c r="B388" t="s">
        <v>719</v>
      </c>
      <c r="C388">
        <f>3.6 / 50.285</f>
        <v>7.1591926021676452E-2</v>
      </c>
      <c r="D388" t="s">
        <v>721</v>
      </c>
      <c r="E388" t="s">
        <v>723</v>
      </c>
      <c r="F388" t="s">
        <v>886</v>
      </c>
    </row>
    <row r="389" spans="1:6" x14ac:dyDescent="0.35">
      <c r="A389" t="s">
        <v>240</v>
      </c>
      <c r="B389" t="s">
        <v>717</v>
      </c>
      <c r="C389">
        <f>1 * 3.6 / 31.58</f>
        <v>0.11399620012666245</v>
      </c>
      <c r="D389" t="s">
        <v>721</v>
      </c>
      <c r="E389" t="s">
        <v>723</v>
      </c>
      <c r="F389" t="s">
        <v>766</v>
      </c>
    </row>
    <row r="390" spans="1:6" x14ac:dyDescent="0.35">
      <c r="A390" t="s">
        <v>241</v>
      </c>
      <c r="B390" t="s">
        <v>718</v>
      </c>
      <c r="C390">
        <f>3.6 * 8760 * 0.86 / (0.05 * 1000 * 43) / 1000000</f>
        <v>1.2614399999999999E-5</v>
      </c>
      <c r="D390" t="s">
        <v>722</v>
      </c>
      <c r="E390" t="s">
        <v>730</v>
      </c>
      <c r="F390" t="s">
        <v>767</v>
      </c>
    </row>
    <row r="391" spans="1:6" x14ac:dyDescent="0.35">
      <c r="A391" t="s">
        <v>241</v>
      </c>
      <c r="B391" t="s">
        <v>719</v>
      </c>
      <c r="C391">
        <f>3.6 / 43</f>
        <v>8.3720930232558138E-2</v>
      </c>
      <c r="D391" t="s">
        <v>721</v>
      </c>
      <c r="E391" t="s">
        <v>723</v>
      </c>
      <c r="F391" t="s">
        <v>782</v>
      </c>
    </row>
    <row r="392" spans="1:6" x14ac:dyDescent="0.35">
      <c r="A392" t="s">
        <v>242</v>
      </c>
      <c r="B392" t="s">
        <v>717</v>
      </c>
      <c r="C392">
        <f>1 * 3.6 / 40.938</f>
        <v>8.7937857247545062E-2</v>
      </c>
      <c r="D392" t="s">
        <v>721</v>
      </c>
      <c r="E392" t="s">
        <v>723</v>
      </c>
      <c r="F392" t="s">
        <v>768</v>
      </c>
    </row>
    <row r="393" spans="1:6" x14ac:dyDescent="0.35">
      <c r="A393" t="s">
        <v>243</v>
      </c>
      <c r="B393" t="s">
        <v>717</v>
      </c>
      <c r="C393">
        <f>1 * 3.6 / 50.285</f>
        <v>7.1591926021676452E-2</v>
      </c>
      <c r="D393" t="s">
        <v>721</v>
      </c>
      <c r="E393" t="s">
        <v>723</v>
      </c>
      <c r="F393" t="s">
        <v>769</v>
      </c>
    </row>
    <row r="394" spans="1:6" x14ac:dyDescent="0.35">
      <c r="A394" t="s">
        <v>244</v>
      </c>
      <c r="B394" t="s">
        <v>718</v>
      </c>
      <c r="C394">
        <f>(8760*0.86)/(0.05*1000) / 1000000</f>
        <v>1.50672E-4</v>
      </c>
      <c r="D394" t="s">
        <v>722</v>
      </c>
      <c r="E394" t="s">
        <v>731</v>
      </c>
      <c r="F394" t="s">
        <v>770</v>
      </c>
    </row>
    <row r="395" spans="1:6" x14ac:dyDescent="0.35">
      <c r="A395" t="s">
        <v>244</v>
      </c>
      <c r="B395" t="s">
        <v>719</v>
      </c>
      <c r="C395">
        <v>1</v>
      </c>
      <c r="D395" t="s">
        <v>721</v>
      </c>
      <c r="E395" t="s">
        <v>721</v>
      </c>
    </row>
    <row r="396" spans="1:6" x14ac:dyDescent="0.35">
      <c r="A396" t="s">
        <v>245</v>
      </c>
      <c r="B396" t="s">
        <v>718</v>
      </c>
      <c r="C396">
        <f>8760*0.85 / 200 / 1000000</f>
        <v>3.7229999999999994E-5</v>
      </c>
      <c r="D396" t="s">
        <v>722</v>
      </c>
      <c r="E396" t="s">
        <v>731</v>
      </c>
      <c r="F396" t="s">
        <v>771</v>
      </c>
    </row>
    <row r="397" spans="1:6" x14ac:dyDescent="0.35">
      <c r="A397" t="s">
        <v>245</v>
      </c>
      <c r="B397" t="s">
        <v>719</v>
      </c>
      <c r="C397">
        <v>1</v>
      </c>
      <c r="D397" t="s">
        <v>721</v>
      </c>
      <c r="E397" t="s">
        <v>721</v>
      </c>
    </row>
    <row r="398" spans="1:6" x14ac:dyDescent="0.35">
      <c r="A398" t="s">
        <v>246</v>
      </c>
      <c r="B398" t="s">
        <v>718</v>
      </c>
      <c r="C398">
        <f>8760*0.85 / 200 / 1000000</f>
        <v>3.7229999999999994E-5</v>
      </c>
      <c r="D398" t="s">
        <v>722</v>
      </c>
      <c r="E398" t="s">
        <v>731</v>
      </c>
      <c r="F398" t="s">
        <v>771</v>
      </c>
    </row>
    <row r="399" spans="1:6" x14ac:dyDescent="0.35">
      <c r="A399" t="s">
        <v>246</v>
      </c>
      <c r="B399" t="s">
        <v>719</v>
      </c>
      <c r="C399">
        <v>1</v>
      </c>
      <c r="D399" t="s">
        <v>721</v>
      </c>
      <c r="E399" t="s">
        <v>721</v>
      </c>
    </row>
    <row r="400" spans="1:6" x14ac:dyDescent="0.35">
      <c r="A400" t="s">
        <v>247</v>
      </c>
      <c r="B400" t="s">
        <v>718</v>
      </c>
      <c r="C400">
        <f>8760*0.85 / 200 / 1000000</f>
        <v>3.7229999999999994E-5</v>
      </c>
      <c r="D400" t="s">
        <v>722</v>
      </c>
      <c r="E400" t="s">
        <v>731</v>
      </c>
      <c r="F400" t="s">
        <v>771</v>
      </c>
    </row>
    <row r="401" spans="1:6" x14ac:dyDescent="0.35">
      <c r="A401" t="s">
        <v>247</v>
      </c>
      <c r="B401" t="s">
        <v>719</v>
      </c>
      <c r="C401">
        <v>1</v>
      </c>
      <c r="D401" t="s">
        <v>721</v>
      </c>
      <c r="E401" t="s">
        <v>721</v>
      </c>
    </row>
    <row r="402" spans="1:6" x14ac:dyDescent="0.35">
      <c r="A402" t="s">
        <v>248</v>
      </c>
      <c r="B402" t="s">
        <v>718</v>
      </c>
      <c r="C402">
        <f>8760 * 0.86/ (0.05 * 1000 * 11.83) / 1000000</f>
        <v>1.2736432797971257E-5</v>
      </c>
      <c r="D402" t="s">
        <v>722</v>
      </c>
      <c r="E402" t="s">
        <v>730</v>
      </c>
      <c r="F402" t="s">
        <v>772</v>
      </c>
    </row>
    <row r="403" spans="1:6" x14ac:dyDescent="0.35">
      <c r="A403" t="s">
        <v>248</v>
      </c>
      <c r="B403" t="s">
        <v>719</v>
      </c>
      <c r="C403">
        <f>1 / 11.83</f>
        <v>8.453085376162299E-2</v>
      </c>
      <c r="D403" t="s">
        <v>721</v>
      </c>
      <c r="E403" t="s">
        <v>723</v>
      </c>
      <c r="F403" t="s">
        <v>887</v>
      </c>
    </row>
    <row r="404" spans="1:6" x14ac:dyDescent="0.35">
      <c r="A404" t="s">
        <v>249</v>
      </c>
      <c r="B404" t="s">
        <v>718</v>
      </c>
      <c r="C404">
        <f>1/5 / 1000</f>
        <v>2.0000000000000001E-4</v>
      </c>
      <c r="D404" t="s">
        <v>722</v>
      </c>
      <c r="E404" t="s">
        <v>730</v>
      </c>
      <c r="F404" t="s">
        <v>898</v>
      </c>
    </row>
    <row r="405" spans="1:6" x14ac:dyDescent="0.35">
      <c r="A405" t="s">
        <v>249</v>
      </c>
      <c r="B405" t="s">
        <v>719</v>
      </c>
      <c r="C405">
        <f>1 / 33.3</f>
        <v>3.0030030030030033E-2</v>
      </c>
      <c r="D405" t="s">
        <v>721</v>
      </c>
      <c r="E405" t="s">
        <v>723</v>
      </c>
      <c r="F405" t="s">
        <v>773</v>
      </c>
    </row>
    <row r="406" spans="1:6" x14ac:dyDescent="0.35">
      <c r="A406" t="s">
        <v>250</v>
      </c>
      <c r="B406" t="s">
        <v>718</v>
      </c>
      <c r="C406">
        <v>1</v>
      </c>
      <c r="D406" t="s">
        <v>722</v>
      </c>
      <c r="E406" t="s">
        <v>722</v>
      </c>
    </row>
    <row r="407" spans="1:6" x14ac:dyDescent="0.35">
      <c r="A407" t="s">
        <v>251</v>
      </c>
      <c r="B407" t="s">
        <v>718</v>
      </c>
      <c r="C407">
        <f>0.00000000254628/5.3483199147628E-10</f>
        <v>4.7608969556431795</v>
      </c>
      <c r="D407" t="s">
        <v>722</v>
      </c>
      <c r="E407" t="s">
        <v>722</v>
      </c>
      <c r="F407" t="s">
        <v>774</v>
      </c>
    </row>
    <row r="408" spans="1:6" x14ac:dyDescent="0.35">
      <c r="A408" t="s">
        <v>252</v>
      </c>
      <c r="B408" t="s">
        <v>718</v>
      </c>
      <c r="C408">
        <f>1/5 / 1000</f>
        <v>2.0000000000000001E-4</v>
      </c>
      <c r="D408" t="s">
        <v>722</v>
      </c>
      <c r="E408" t="s">
        <v>730</v>
      </c>
      <c r="F408" t="s">
        <v>920</v>
      </c>
    </row>
    <row r="409" spans="1:6" x14ac:dyDescent="0.35">
      <c r="A409" t="s">
        <v>252</v>
      </c>
      <c r="B409" t="s">
        <v>719</v>
      </c>
      <c r="C409">
        <f>1 * 3.6 / 23.9</f>
        <v>0.15062761506276151</v>
      </c>
      <c r="D409" t="s">
        <v>721</v>
      </c>
      <c r="E409" t="s">
        <v>723</v>
      </c>
      <c r="F409" t="s">
        <v>775</v>
      </c>
    </row>
    <row r="410" spans="1:6" x14ac:dyDescent="0.35">
      <c r="A410" t="s">
        <v>253</v>
      </c>
      <c r="B410" t="s">
        <v>718</v>
      </c>
      <c r="C410">
        <v>1</v>
      </c>
      <c r="D410" t="s">
        <v>722</v>
      </c>
      <c r="E410" t="s">
        <v>722</v>
      </c>
    </row>
    <row r="411" spans="1:6" x14ac:dyDescent="0.35">
      <c r="A411" t="s">
        <v>254</v>
      </c>
      <c r="B411" t="s">
        <v>718</v>
      </c>
      <c r="C411">
        <f>0.00000000254628/5.3483199147628E-10</f>
        <v>4.7608969556431795</v>
      </c>
      <c r="D411" t="s">
        <v>722</v>
      </c>
      <c r="E411" t="s">
        <v>722</v>
      </c>
      <c r="F411" t="s">
        <v>774</v>
      </c>
    </row>
    <row r="412" spans="1:6" x14ac:dyDescent="0.35">
      <c r="A412" t="s">
        <v>255</v>
      </c>
      <c r="B412" t="s">
        <v>717</v>
      </c>
      <c r="C412">
        <f>1 * 3.6 / 42.5</f>
        <v>8.4705882352941173E-2</v>
      </c>
      <c r="D412" t="s">
        <v>721</v>
      </c>
      <c r="E412" t="s">
        <v>723</v>
      </c>
      <c r="F412" t="s">
        <v>776</v>
      </c>
    </row>
    <row r="413" spans="1:6" x14ac:dyDescent="0.35">
      <c r="A413" t="s">
        <v>256</v>
      </c>
      <c r="B413" t="s">
        <v>718</v>
      </c>
      <c r="C413">
        <f>1 / (16000*737*12.06)</f>
        <v>7.0317791413803889E-9</v>
      </c>
      <c r="D413" t="s">
        <v>722</v>
      </c>
      <c r="E413" t="s">
        <v>723</v>
      </c>
      <c r="F413" t="s">
        <v>921</v>
      </c>
    </row>
    <row r="414" spans="1:6" x14ac:dyDescent="0.35">
      <c r="A414" t="s">
        <v>257</v>
      </c>
      <c r="B414" t="s">
        <v>718</v>
      </c>
      <c r="C414">
        <f>1/5.5 / 1000</f>
        <v>1.8181818181818183E-4</v>
      </c>
      <c r="D414" t="s">
        <v>722</v>
      </c>
      <c r="E414" t="s">
        <v>730</v>
      </c>
      <c r="F414" t="s">
        <v>922</v>
      </c>
    </row>
    <row r="415" spans="1:6" x14ac:dyDescent="0.35">
      <c r="A415" t="s">
        <v>257</v>
      </c>
      <c r="B415" t="s">
        <v>719</v>
      </c>
      <c r="C415">
        <v>1</v>
      </c>
      <c r="D415" t="s">
        <v>723</v>
      </c>
      <c r="E415" t="s">
        <v>723</v>
      </c>
    </row>
    <row r="416" spans="1:6" x14ac:dyDescent="0.35">
      <c r="A416" t="s">
        <v>258</v>
      </c>
      <c r="B416" t="s">
        <v>718</v>
      </c>
      <c r="C416">
        <f>1000/400000000</f>
        <v>2.5000000000000002E-6</v>
      </c>
      <c r="D416" t="s">
        <v>722</v>
      </c>
      <c r="E416" t="s">
        <v>730</v>
      </c>
      <c r="F416" t="s">
        <v>923</v>
      </c>
    </row>
    <row r="417" spans="1:6" x14ac:dyDescent="0.35">
      <c r="A417" t="s">
        <v>258</v>
      </c>
      <c r="B417" t="s">
        <v>719</v>
      </c>
      <c r="C417">
        <f>1</f>
        <v>1</v>
      </c>
      <c r="D417" t="s">
        <v>723</v>
      </c>
      <c r="E417" t="s">
        <v>723</v>
      </c>
    </row>
    <row r="418" spans="1:6" x14ac:dyDescent="0.35">
      <c r="A418" t="s">
        <v>259</v>
      </c>
      <c r="B418" t="s">
        <v>718</v>
      </c>
      <c r="C418">
        <f>1*0.0072037 / (27.7 * 1000)</f>
        <v>2.6006137184115524E-7</v>
      </c>
      <c r="D418" t="s">
        <v>722</v>
      </c>
      <c r="E418" t="s">
        <v>730</v>
      </c>
      <c r="F418" t="s">
        <v>965</v>
      </c>
    </row>
    <row r="419" spans="1:6" x14ac:dyDescent="0.35">
      <c r="A419" t="s">
        <v>259</v>
      </c>
      <c r="B419" t="s">
        <v>719</v>
      </c>
      <c r="C419">
        <f>1 / 33.3</f>
        <v>3.0030030030030033E-2</v>
      </c>
      <c r="D419" t="s">
        <v>721</v>
      </c>
      <c r="E419" t="s">
        <v>723</v>
      </c>
      <c r="F419" t="s">
        <v>777</v>
      </c>
    </row>
    <row r="420" spans="1:6" x14ac:dyDescent="0.35">
      <c r="A420" t="s">
        <v>260</v>
      </c>
      <c r="B420" t="s">
        <v>718</v>
      </c>
      <c r="C420">
        <f>1*0.0201494 / (27.7 * 1000)</f>
        <v>7.274151624548737E-7</v>
      </c>
      <c r="D420" t="s">
        <v>722</v>
      </c>
      <c r="E420" t="s">
        <v>730</v>
      </c>
      <c r="F420" t="s">
        <v>966</v>
      </c>
    </row>
    <row r="421" spans="1:6" x14ac:dyDescent="0.35">
      <c r="A421" t="s">
        <v>260</v>
      </c>
      <c r="B421" t="s">
        <v>719</v>
      </c>
      <c r="C421">
        <f>1 / 33.3</f>
        <v>3.0030030030030033E-2</v>
      </c>
      <c r="D421" t="s">
        <v>721</v>
      </c>
      <c r="E421" t="s">
        <v>723</v>
      </c>
      <c r="F421" t="s">
        <v>777</v>
      </c>
    </row>
    <row r="422" spans="1:6" x14ac:dyDescent="0.35">
      <c r="A422" t="s">
        <v>261</v>
      </c>
      <c r="B422" t="s">
        <v>718</v>
      </c>
      <c r="C422">
        <f>1*0.0101922 / (27.7 * 1000)</f>
        <v>3.6794945848375449E-7</v>
      </c>
      <c r="D422" t="s">
        <v>722</v>
      </c>
      <c r="E422" t="s">
        <v>730</v>
      </c>
      <c r="F422" t="s">
        <v>967</v>
      </c>
    </row>
    <row r="423" spans="1:6" x14ac:dyDescent="0.35">
      <c r="A423" t="s">
        <v>261</v>
      </c>
      <c r="B423" t="s">
        <v>719</v>
      </c>
      <c r="C423">
        <f>1 / 33.3</f>
        <v>3.0030030030030033E-2</v>
      </c>
      <c r="D423" t="s">
        <v>721</v>
      </c>
      <c r="E423" t="s">
        <v>723</v>
      </c>
      <c r="F423" t="s">
        <v>777</v>
      </c>
    </row>
    <row r="424" spans="1:6" x14ac:dyDescent="0.35">
      <c r="A424" t="s">
        <v>262</v>
      </c>
      <c r="B424" t="s">
        <v>717</v>
      </c>
      <c r="C424">
        <f>1 / 33.3</f>
        <v>3.0030030030030033E-2</v>
      </c>
      <c r="D424" t="s">
        <v>721</v>
      </c>
      <c r="E424" t="s">
        <v>723</v>
      </c>
      <c r="F424" t="s">
        <v>777</v>
      </c>
    </row>
    <row r="425" spans="1:6" x14ac:dyDescent="0.35">
      <c r="A425" t="s">
        <v>263</v>
      </c>
      <c r="B425" t="s">
        <v>719</v>
      </c>
      <c r="C425">
        <f>1 / 33.3</f>
        <v>3.0030030030030033E-2</v>
      </c>
      <c r="D425" t="s">
        <v>721</v>
      </c>
      <c r="E425" t="s">
        <v>723</v>
      </c>
      <c r="F425" t="s">
        <v>777</v>
      </c>
    </row>
    <row r="426" spans="1:6" x14ac:dyDescent="0.35">
      <c r="A426" t="s">
        <v>264</v>
      </c>
      <c r="B426" t="s">
        <v>718</v>
      </c>
      <c r="C426">
        <f>1*0.0072037 / 160</f>
        <v>4.5023125000000001E-5</v>
      </c>
      <c r="D426" t="s">
        <v>722</v>
      </c>
      <c r="E426" t="s">
        <v>730</v>
      </c>
      <c r="F426" t="s">
        <v>971</v>
      </c>
    </row>
    <row r="427" spans="1:6" x14ac:dyDescent="0.35">
      <c r="A427" t="s">
        <v>264</v>
      </c>
      <c r="B427" t="s">
        <v>719</v>
      </c>
      <c r="C427">
        <f>1 / 33.3</f>
        <v>3.0030030030030033E-2</v>
      </c>
      <c r="D427" t="s">
        <v>721</v>
      </c>
      <c r="E427" t="s">
        <v>723</v>
      </c>
      <c r="F427" t="s">
        <v>777</v>
      </c>
    </row>
    <row r="428" spans="1:6" x14ac:dyDescent="0.35">
      <c r="A428" t="s">
        <v>265</v>
      </c>
      <c r="B428" t="s">
        <v>719</v>
      </c>
      <c r="C428">
        <f>1 / 33.3</f>
        <v>3.0030030030030033E-2</v>
      </c>
      <c r="D428" t="s">
        <v>721</v>
      </c>
      <c r="E428" t="s">
        <v>723</v>
      </c>
      <c r="F428" t="s">
        <v>777</v>
      </c>
    </row>
    <row r="429" spans="1:6" x14ac:dyDescent="0.35">
      <c r="A429" t="s">
        <v>266</v>
      </c>
      <c r="B429" t="s">
        <v>718</v>
      </c>
      <c r="C429">
        <f>1*0.0101922 / 160</f>
        <v>6.3701249999999996E-5</v>
      </c>
      <c r="D429" t="s">
        <v>722</v>
      </c>
      <c r="E429" t="s">
        <v>730</v>
      </c>
      <c r="F429" t="s">
        <v>972</v>
      </c>
    </row>
    <row r="430" spans="1:6" x14ac:dyDescent="0.35">
      <c r="A430" t="s">
        <v>266</v>
      </c>
      <c r="B430" t="s">
        <v>719</v>
      </c>
      <c r="C430">
        <f>1 / 33.3</f>
        <v>3.0030030030030033E-2</v>
      </c>
      <c r="D430" t="s">
        <v>721</v>
      </c>
      <c r="E430" t="s">
        <v>723</v>
      </c>
      <c r="F430" t="s">
        <v>777</v>
      </c>
    </row>
    <row r="431" spans="1:6" x14ac:dyDescent="0.35">
      <c r="A431" t="s">
        <v>267</v>
      </c>
      <c r="B431" t="s">
        <v>719</v>
      </c>
      <c r="C431">
        <f>1 / 33.3</f>
        <v>3.0030030030030033E-2</v>
      </c>
      <c r="D431" t="s">
        <v>721</v>
      </c>
      <c r="E431" t="s">
        <v>723</v>
      </c>
      <c r="F431" t="s">
        <v>777</v>
      </c>
    </row>
    <row r="432" spans="1:6" x14ac:dyDescent="0.35">
      <c r="A432" t="s">
        <v>268</v>
      </c>
      <c r="B432" t="s">
        <v>718</v>
      </c>
      <c r="C432">
        <f>1*0.0201494 / 160</f>
        <v>1.2593375000000001E-4</v>
      </c>
      <c r="D432" t="s">
        <v>722</v>
      </c>
      <c r="E432" t="s">
        <v>730</v>
      </c>
      <c r="F432" t="s">
        <v>973</v>
      </c>
    </row>
    <row r="433" spans="1:6" x14ac:dyDescent="0.35">
      <c r="A433" t="s">
        <v>268</v>
      </c>
      <c r="B433" t="s">
        <v>719</v>
      </c>
      <c r="C433">
        <f>1 / 33.3</f>
        <v>3.0030030030030033E-2</v>
      </c>
      <c r="D433" t="s">
        <v>721</v>
      </c>
      <c r="E433" t="s">
        <v>723</v>
      </c>
      <c r="F433" t="s">
        <v>777</v>
      </c>
    </row>
    <row r="434" spans="1:6" x14ac:dyDescent="0.35">
      <c r="A434" t="s">
        <v>269</v>
      </c>
      <c r="B434" t="s">
        <v>717</v>
      </c>
      <c r="C434">
        <f>1 / 33.3</f>
        <v>3.0030030030030033E-2</v>
      </c>
      <c r="D434" t="s">
        <v>721</v>
      </c>
      <c r="E434" t="s">
        <v>723</v>
      </c>
      <c r="F434" t="s">
        <v>777</v>
      </c>
    </row>
    <row r="435" spans="1:6" x14ac:dyDescent="0.35">
      <c r="A435" t="s">
        <v>270</v>
      </c>
      <c r="B435" t="s">
        <v>717</v>
      </c>
      <c r="C435">
        <f>1 / 33.3</f>
        <v>3.0030030030030033E-2</v>
      </c>
      <c r="D435" t="s">
        <v>721</v>
      </c>
      <c r="E435" t="s">
        <v>723</v>
      </c>
      <c r="F435" t="s">
        <v>777</v>
      </c>
    </row>
    <row r="436" spans="1:6" x14ac:dyDescent="0.35">
      <c r="A436" t="s">
        <v>271</v>
      </c>
      <c r="B436" t="s">
        <v>717</v>
      </c>
      <c r="C436">
        <f>1 / 33.3</f>
        <v>3.0030030030030033E-2</v>
      </c>
      <c r="D436" t="s">
        <v>721</v>
      </c>
      <c r="E436" t="s">
        <v>723</v>
      </c>
      <c r="F436" t="s">
        <v>777</v>
      </c>
    </row>
    <row r="437" spans="1:6" x14ac:dyDescent="0.35">
      <c r="A437" t="s">
        <v>272</v>
      </c>
      <c r="B437" t="s">
        <v>718</v>
      </c>
      <c r="C437">
        <f>1000/400000000</f>
        <v>2.5000000000000002E-6</v>
      </c>
      <c r="D437" t="s">
        <v>722</v>
      </c>
      <c r="E437" t="s">
        <v>730</v>
      </c>
      <c r="F437" t="s">
        <v>923</v>
      </c>
    </row>
    <row r="438" spans="1:6" x14ac:dyDescent="0.35">
      <c r="A438" t="s">
        <v>272</v>
      </c>
      <c r="B438" t="s">
        <v>719</v>
      </c>
      <c r="C438">
        <f>1</f>
        <v>1</v>
      </c>
      <c r="D438" t="s">
        <v>723</v>
      </c>
      <c r="E438" t="s">
        <v>723</v>
      </c>
    </row>
    <row r="439" spans="1:6" x14ac:dyDescent="0.35">
      <c r="A439" t="s">
        <v>273</v>
      </c>
      <c r="B439" t="s">
        <v>718</v>
      </c>
      <c r="C439">
        <f>1000/400000000</f>
        <v>2.5000000000000002E-6</v>
      </c>
      <c r="D439" t="s">
        <v>722</v>
      </c>
      <c r="E439" t="s">
        <v>730</v>
      </c>
      <c r="F439" t="s">
        <v>923</v>
      </c>
    </row>
    <row r="440" spans="1:6" x14ac:dyDescent="0.35">
      <c r="A440" t="s">
        <v>273</v>
      </c>
      <c r="B440" t="s">
        <v>719</v>
      </c>
      <c r="C440">
        <f>1</f>
        <v>1</v>
      </c>
      <c r="D440" t="s">
        <v>723</v>
      </c>
      <c r="E440" t="s">
        <v>723</v>
      </c>
    </row>
    <row r="441" spans="1:6" x14ac:dyDescent="0.35">
      <c r="A441" t="s">
        <v>274</v>
      </c>
      <c r="B441" t="s">
        <v>718</v>
      </c>
      <c r="C441">
        <f>1 / 33.3</f>
        <v>3.0030030030030033E-2</v>
      </c>
      <c r="D441" t="s">
        <v>721</v>
      </c>
      <c r="E441" t="s">
        <v>723</v>
      </c>
      <c r="F441" t="s">
        <v>779</v>
      </c>
    </row>
    <row r="442" spans="1:6" x14ac:dyDescent="0.35">
      <c r="A442" t="s">
        <v>275</v>
      </c>
      <c r="B442" t="s">
        <v>719</v>
      </c>
      <c r="C442">
        <f>1 * 3.6</f>
        <v>3.6</v>
      </c>
      <c r="D442" t="s">
        <v>727</v>
      </c>
      <c r="E442" t="s">
        <v>723</v>
      </c>
    </row>
    <row r="443" spans="1:6" x14ac:dyDescent="0.35">
      <c r="A443" t="s">
        <v>276</v>
      </c>
      <c r="B443" t="s">
        <v>718</v>
      </c>
      <c r="C443">
        <f>22341/30340000</f>
        <v>7.3635464733025704E-4</v>
      </c>
      <c r="D443" t="s">
        <v>726</v>
      </c>
      <c r="E443" t="s">
        <v>730</v>
      </c>
      <c r="F443" t="s">
        <v>1029</v>
      </c>
    </row>
    <row r="444" spans="1:6" x14ac:dyDescent="0.35">
      <c r="A444" t="s">
        <v>277</v>
      </c>
      <c r="B444" t="s">
        <v>718</v>
      </c>
      <c r="C444">
        <f>1 / 22583 / 1000</f>
        <v>4.4281096399946864E-8</v>
      </c>
      <c r="D444" t="s">
        <v>722</v>
      </c>
      <c r="E444" t="s">
        <v>730</v>
      </c>
      <c r="F444" t="s">
        <v>924</v>
      </c>
    </row>
    <row r="445" spans="1:6" x14ac:dyDescent="0.35">
      <c r="A445" t="s">
        <v>277</v>
      </c>
      <c r="B445" t="s">
        <v>719</v>
      </c>
      <c r="C445">
        <f>1</f>
        <v>1</v>
      </c>
      <c r="D445" t="s">
        <v>723</v>
      </c>
      <c r="E445" t="s">
        <v>723</v>
      </c>
    </row>
    <row r="446" spans="1:6" x14ac:dyDescent="0.35">
      <c r="A446" t="s">
        <v>278</v>
      </c>
      <c r="B446" t="s">
        <v>718</v>
      </c>
      <c r="C446">
        <f>1/5 / 1000</f>
        <v>2.0000000000000001E-4</v>
      </c>
      <c r="D446" t="s">
        <v>722</v>
      </c>
      <c r="E446" t="s">
        <v>730</v>
      </c>
      <c r="F446" t="s">
        <v>925</v>
      </c>
    </row>
    <row r="447" spans="1:6" x14ac:dyDescent="0.35">
      <c r="A447" t="s">
        <v>278</v>
      </c>
      <c r="B447" t="s">
        <v>719</v>
      </c>
      <c r="C447">
        <f>1 * 3.6 / 23.9</f>
        <v>0.15062761506276151</v>
      </c>
      <c r="D447" t="s">
        <v>721</v>
      </c>
      <c r="E447" t="s">
        <v>723</v>
      </c>
      <c r="F447" t="s">
        <v>888</v>
      </c>
    </row>
    <row r="448" spans="1:6" x14ac:dyDescent="0.35">
      <c r="A448" t="s">
        <v>279</v>
      </c>
      <c r="B448" t="s">
        <v>718</v>
      </c>
      <c r="C448">
        <f>1/200</f>
        <v>5.0000000000000001E-3</v>
      </c>
      <c r="D448" t="s">
        <v>722</v>
      </c>
      <c r="E448" t="s">
        <v>730</v>
      </c>
      <c r="F448" t="s">
        <v>954</v>
      </c>
    </row>
    <row r="449" spans="1:6" x14ac:dyDescent="0.35">
      <c r="A449" t="s">
        <v>279</v>
      </c>
      <c r="B449" t="s">
        <v>719</v>
      </c>
      <c r="C449">
        <f>1 * 3.6 / (23.9 * 0.4)</f>
        <v>0.37656903765690375</v>
      </c>
      <c r="D449" t="s">
        <v>721</v>
      </c>
      <c r="E449" t="s">
        <v>723</v>
      </c>
      <c r="F449" t="s">
        <v>780</v>
      </c>
    </row>
    <row r="450" spans="1:6" x14ac:dyDescent="0.35">
      <c r="A450" t="s">
        <v>280</v>
      </c>
      <c r="B450" t="s">
        <v>718</v>
      </c>
      <c r="C450">
        <f>1/5</f>
        <v>0.2</v>
      </c>
      <c r="D450" t="s">
        <v>722</v>
      </c>
      <c r="E450" t="s">
        <v>722</v>
      </c>
      <c r="F450" t="s">
        <v>955</v>
      </c>
    </row>
    <row r="451" spans="1:6" x14ac:dyDescent="0.35">
      <c r="A451" t="s">
        <v>281</v>
      </c>
      <c r="B451" t="s">
        <v>718</v>
      </c>
      <c r="C451">
        <v>1</v>
      </c>
      <c r="D451" t="s">
        <v>722</v>
      </c>
      <c r="E451" t="s">
        <v>722</v>
      </c>
    </row>
    <row r="452" spans="1:6" x14ac:dyDescent="0.35">
      <c r="A452" t="s">
        <v>282</v>
      </c>
      <c r="B452" t="s">
        <v>718</v>
      </c>
      <c r="C452">
        <f>1/13787 / 1000</f>
        <v>7.2532095452237618E-8</v>
      </c>
      <c r="D452" t="s">
        <v>722</v>
      </c>
      <c r="E452" t="s">
        <v>730</v>
      </c>
      <c r="F452" t="s">
        <v>926</v>
      </c>
    </row>
    <row r="453" spans="1:6" x14ac:dyDescent="0.35">
      <c r="A453" t="s">
        <v>282</v>
      </c>
      <c r="B453" t="s">
        <v>719</v>
      </c>
      <c r="C453">
        <f>1</f>
        <v>1</v>
      </c>
      <c r="D453" t="s">
        <v>723</v>
      </c>
      <c r="E453" t="s">
        <v>723</v>
      </c>
    </row>
    <row r="454" spans="1:6" x14ac:dyDescent="0.35">
      <c r="A454" t="s">
        <v>283</v>
      </c>
      <c r="B454" t="s">
        <v>718</v>
      </c>
      <c r="C454">
        <f>1 / 1000</f>
        <v>1E-3</v>
      </c>
      <c r="D454" t="s">
        <v>722</v>
      </c>
      <c r="E454" t="s">
        <v>730</v>
      </c>
      <c r="F454" t="s">
        <v>956</v>
      </c>
    </row>
    <row r="455" spans="1:6" x14ac:dyDescent="0.35">
      <c r="A455" t="s">
        <v>283</v>
      </c>
      <c r="B455" t="s">
        <v>719</v>
      </c>
      <c r="C455">
        <f>1 * 3.6</f>
        <v>3.6</v>
      </c>
      <c r="D455" t="s">
        <v>727</v>
      </c>
      <c r="E455" t="s">
        <v>723</v>
      </c>
    </row>
    <row r="456" spans="1:6" x14ac:dyDescent="0.35">
      <c r="A456" t="s">
        <v>284</v>
      </c>
      <c r="B456" t="s">
        <v>718</v>
      </c>
      <c r="C456">
        <f>1/100</f>
        <v>0.01</v>
      </c>
      <c r="D456" t="s">
        <v>722</v>
      </c>
      <c r="E456" t="s">
        <v>730</v>
      </c>
      <c r="F456" t="s">
        <v>927</v>
      </c>
    </row>
    <row r="457" spans="1:6" x14ac:dyDescent="0.35">
      <c r="A457" t="s">
        <v>284</v>
      </c>
      <c r="B457" t="s">
        <v>719</v>
      </c>
      <c r="C457">
        <f>1 * 3.6</f>
        <v>3.6</v>
      </c>
      <c r="D457" t="s">
        <v>727</v>
      </c>
      <c r="E457" t="s">
        <v>723</v>
      </c>
    </row>
    <row r="458" spans="1:6" x14ac:dyDescent="0.35">
      <c r="A458" t="s">
        <v>285</v>
      </c>
      <c r="B458" t="s">
        <v>718</v>
      </c>
      <c r="C458">
        <f>1 / 1000</f>
        <v>1E-3</v>
      </c>
      <c r="D458" t="s">
        <v>722</v>
      </c>
      <c r="E458" t="s">
        <v>730</v>
      </c>
      <c r="F458" t="s">
        <v>928</v>
      </c>
    </row>
    <row r="459" spans="1:6" x14ac:dyDescent="0.35">
      <c r="A459" t="s">
        <v>285</v>
      </c>
      <c r="B459" t="s">
        <v>719</v>
      </c>
      <c r="C459">
        <f>1 * 3.6</f>
        <v>3.6</v>
      </c>
      <c r="D459" t="s">
        <v>727</v>
      </c>
      <c r="E459" t="s">
        <v>723</v>
      </c>
    </row>
    <row r="460" spans="1:6" x14ac:dyDescent="0.35">
      <c r="A460" t="s">
        <v>286</v>
      </c>
      <c r="B460" t="s">
        <v>718</v>
      </c>
      <c r="C460">
        <v>1</v>
      </c>
      <c r="D460" t="s">
        <v>722</v>
      </c>
      <c r="E460" t="s">
        <v>722</v>
      </c>
    </row>
    <row r="461" spans="1:6" x14ac:dyDescent="0.35">
      <c r="A461" t="s">
        <v>287</v>
      </c>
      <c r="B461" t="s">
        <v>718</v>
      </c>
      <c r="C461">
        <f>3.89863157894737E-08/0.000000002924</f>
        <v>13.333213334293331</v>
      </c>
      <c r="D461" t="s">
        <v>722</v>
      </c>
      <c r="E461" t="s">
        <v>722</v>
      </c>
      <c r="F461" t="s">
        <v>754</v>
      </c>
    </row>
    <row r="462" spans="1:6" x14ac:dyDescent="0.35">
      <c r="A462" t="s">
        <v>288</v>
      </c>
      <c r="B462" t="s">
        <v>718</v>
      </c>
      <c r="C462">
        <f>3.6 * 8760 * 0.9 / (100 * 12.35 * 1/1.2195) / 1000000</f>
        <v>2.8026183643724697E-5</v>
      </c>
      <c r="D462" t="s">
        <v>722</v>
      </c>
      <c r="E462" t="s">
        <v>730</v>
      </c>
      <c r="F462" t="s">
        <v>929</v>
      </c>
    </row>
    <row r="463" spans="1:6" x14ac:dyDescent="0.35">
      <c r="A463" t="s">
        <v>288</v>
      </c>
      <c r="B463" t="s">
        <v>719</v>
      </c>
      <c r="C463">
        <f>1 * 3.6</f>
        <v>3.6</v>
      </c>
      <c r="D463" t="s">
        <v>727</v>
      </c>
      <c r="E463" t="s">
        <v>723</v>
      </c>
    </row>
    <row r="464" spans="1:6" x14ac:dyDescent="0.35">
      <c r="A464" t="s">
        <v>289</v>
      </c>
      <c r="B464" t="s">
        <v>718</v>
      </c>
      <c r="C464">
        <f>3.6 * 8760 * 0.9 / (100 * 12.35 * 1/1.2195) / 1000000</f>
        <v>2.8026183643724697E-5</v>
      </c>
      <c r="D464" t="s">
        <v>722</v>
      </c>
      <c r="E464" t="s">
        <v>730</v>
      </c>
      <c r="F464" t="s">
        <v>929</v>
      </c>
    </row>
    <row r="465" spans="1:6" x14ac:dyDescent="0.35">
      <c r="A465" t="s">
        <v>289</v>
      </c>
      <c r="B465" t="s">
        <v>719</v>
      </c>
      <c r="C465">
        <f>1 * 3.6</f>
        <v>3.6</v>
      </c>
      <c r="D465" t="s">
        <v>727</v>
      </c>
      <c r="E465" t="s">
        <v>723</v>
      </c>
    </row>
    <row r="466" spans="1:6" x14ac:dyDescent="0.35">
      <c r="A466" t="s">
        <v>290</v>
      </c>
      <c r="B466" t="s">
        <v>718</v>
      </c>
      <c r="C466">
        <f>1 / 1000</f>
        <v>1E-3</v>
      </c>
      <c r="D466" t="s">
        <v>722</v>
      </c>
      <c r="E466" t="s">
        <v>730</v>
      </c>
      <c r="F466" t="s">
        <v>930</v>
      </c>
    </row>
    <row r="467" spans="1:6" x14ac:dyDescent="0.35">
      <c r="A467" t="s">
        <v>290</v>
      </c>
      <c r="B467" t="s">
        <v>719</v>
      </c>
      <c r="C467">
        <f>1 * 3.6</f>
        <v>3.6</v>
      </c>
      <c r="D467" t="s">
        <v>727</v>
      </c>
      <c r="E467" t="s">
        <v>723</v>
      </c>
    </row>
    <row r="468" spans="1:6" x14ac:dyDescent="0.35">
      <c r="A468" t="s">
        <v>291</v>
      </c>
      <c r="B468" t="s">
        <v>718</v>
      </c>
      <c r="C468">
        <f>0.956 / 1000</f>
        <v>9.5599999999999993E-4</v>
      </c>
      <c r="D468" t="s">
        <v>722</v>
      </c>
      <c r="E468" t="s">
        <v>730</v>
      </c>
      <c r="F468" t="s">
        <v>932</v>
      </c>
    </row>
    <row r="469" spans="1:6" x14ac:dyDescent="0.35">
      <c r="A469" t="s">
        <v>291</v>
      </c>
      <c r="B469" t="s">
        <v>719</v>
      </c>
      <c r="C469">
        <f>3.6 / 0.1636</f>
        <v>22.004889975550125</v>
      </c>
      <c r="D469" t="s">
        <v>727</v>
      </c>
      <c r="E469" t="s">
        <v>723</v>
      </c>
      <c r="F469" t="s">
        <v>884</v>
      </c>
    </row>
    <row r="470" spans="1:6" x14ac:dyDescent="0.35">
      <c r="A470" t="s">
        <v>292</v>
      </c>
      <c r="B470" t="s">
        <v>718</v>
      </c>
      <c r="C470">
        <v>1</v>
      </c>
      <c r="D470" t="s">
        <v>722</v>
      </c>
      <c r="E470" t="s">
        <v>722</v>
      </c>
    </row>
    <row r="471" spans="1:6" x14ac:dyDescent="0.35">
      <c r="A471" t="s">
        <v>293</v>
      </c>
      <c r="B471" t="s">
        <v>718</v>
      </c>
      <c r="C471">
        <v>1</v>
      </c>
      <c r="D471" t="s">
        <v>722</v>
      </c>
      <c r="E471" t="s">
        <v>722</v>
      </c>
    </row>
    <row r="472" spans="1:6" x14ac:dyDescent="0.35">
      <c r="A472" t="s">
        <v>294</v>
      </c>
      <c r="B472" t="s">
        <v>718</v>
      </c>
      <c r="C472">
        <v>1</v>
      </c>
      <c r="D472" t="s">
        <v>722</v>
      </c>
      <c r="E472" t="s">
        <v>722</v>
      </c>
    </row>
    <row r="473" spans="1:6" x14ac:dyDescent="0.35">
      <c r="A473" t="s">
        <v>295</v>
      </c>
      <c r="B473" t="s">
        <v>718</v>
      </c>
      <c r="C473">
        <f>1/1000</f>
        <v>1E-3</v>
      </c>
      <c r="D473" t="s">
        <v>722</v>
      </c>
      <c r="E473" t="s">
        <v>730</v>
      </c>
      <c r="F473" t="s">
        <v>931</v>
      </c>
    </row>
    <row r="474" spans="1:6" x14ac:dyDescent="0.35">
      <c r="A474" t="s">
        <v>295</v>
      </c>
      <c r="B474" t="s">
        <v>719</v>
      </c>
      <c r="C474">
        <f>1 * 3.6</f>
        <v>3.6</v>
      </c>
      <c r="D474" t="s">
        <v>727</v>
      </c>
      <c r="E474" t="s">
        <v>723</v>
      </c>
    </row>
    <row r="475" spans="1:6" x14ac:dyDescent="0.35">
      <c r="A475" t="s">
        <v>296</v>
      </c>
      <c r="B475" t="s">
        <v>718</v>
      </c>
      <c r="C475">
        <f>1/1000</f>
        <v>1E-3</v>
      </c>
      <c r="D475" t="s">
        <v>722</v>
      </c>
      <c r="E475" t="s">
        <v>730</v>
      </c>
      <c r="F475" t="s">
        <v>931</v>
      </c>
    </row>
    <row r="476" spans="1:6" x14ac:dyDescent="0.35">
      <c r="A476" t="s">
        <v>296</v>
      </c>
      <c r="B476" t="s">
        <v>719</v>
      </c>
      <c r="C476">
        <f>1 * 3.6</f>
        <v>3.6</v>
      </c>
      <c r="D476" t="s">
        <v>727</v>
      </c>
      <c r="E476" t="s">
        <v>723</v>
      </c>
    </row>
    <row r="477" spans="1:6" x14ac:dyDescent="0.35">
      <c r="A477" t="s">
        <v>297</v>
      </c>
      <c r="B477" t="s">
        <v>718</v>
      </c>
      <c r="C477">
        <f>3.6 * 8760 * 0.85 / (100 * 12.35 * 1000 * 1/1.2195)</f>
        <v>2.6469173441295547E-2</v>
      </c>
      <c r="D477" t="s">
        <v>722</v>
      </c>
      <c r="E477" t="s">
        <v>722</v>
      </c>
      <c r="F477" t="s">
        <v>781</v>
      </c>
    </row>
    <row r="478" spans="1:6" x14ac:dyDescent="0.35">
      <c r="A478" t="s">
        <v>298</v>
      </c>
      <c r="B478" t="s">
        <v>718</v>
      </c>
      <c r="C478">
        <v>1</v>
      </c>
      <c r="D478" t="s">
        <v>722</v>
      </c>
      <c r="E478" t="s">
        <v>722</v>
      </c>
      <c r="F478" t="s">
        <v>755</v>
      </c>
    </row>
    <row r="479" spans="1:6" x14ac:dyDescent="0.35">
      <c r="A479" t="s">
        <v>299</v>
      </c>
      <c r="B479" t="s">
        <v>718</v>
      </c>
      <c r="C479">
        <f>3.6 * 8760 * 0.85 / (100 * 12.35 * 1000 * 1/1.2195)</f>
        <v>2.6469173441295547E-2</v>
      </c>
      <c r="D479" t="s">
        <v>722</v>
      </c>
      <c r="E479" t="s">
        <v>722</v>
      </c>
      <c r="F479" t="s">
        <v>781</v>
      </c>
    </row>
    <row r="480" spans="1:6" x14ac:dyDescent="0.35">
      <c r="A480" t="s">
        <v>300</v>
      </c>
      <c r="B480" t="s">
        <v>718</v>
      </c>
      <c r="C480">
        <v>1</v>
      </c>
      <c r="D480" t="s">
        <v>722</v>
      </c>
      <c r="E480" t="s">
        <v>722</v>
      </c>
      <c r="F480" t="s">
        <v>755</v>
      </c>
    </row>
    <row r="481" spans="1:6" x14ac:dyDescent="0.35">
      <c r="A481" t="s">
        <v>301</v>
      </c>
      <c r="B481" t="s">
        <v>718</v>
      </c>
      <c r="C481">
        <f>(1 / 6667)/0.45</f>
        <v>3.3331666749995831E-4</v>
      </c>
      <c r="D481" t="s">
        <v>722</v>
      </c>
      <c r="E481" t="s">
        <v>730</v>
      </c>
      <c r="F481" t="s">
        <v>916</v>
      </c>
    </row>
    <row r="482" spans="1:6" x14ac:dyDescent="0.35">
      <c r="A482" t="s">
        <v>301</v>
      </c>
      <c r="B482" t="s">
        <v>719</v>
      </c>
      <c r="C482">
        <f>3.6 / 0.3373</f>
        <v>10.672991402312482</v>
      </c>
      <c r="D482" t="s">
        <v>727</v>
      </c>
      <c r="E482" t="s">
        <v>723</v>
      </c>
      <c r="F482" t="s">
        <v>885</v>
      </c>
    </row>
    <row r="483" spans="1:6" x14ac:dyDescent="0.35">
      <c r="A483" t="s">
        <v>302</v>
      </c>
      <c r="B483" t="s">
        <v>718</v>
      </c>
      <c r="C483">
        <v>1</v>
      </c>
      <c r="D483" t="s">
        <v>722</v>
      </c>
      <c r="E483" t="s">
        <v>722</v>
      </c>
    </row>
    <row r="484" spans="1:6" x14ac:dyDescent="0.35">
      <c r="A484" t="s">
        <v>303</v>
      </c>
      <c r="B484" t="s">
        <v>718</v>
      </c>
      <c r="C484">
        <v>1</v>
      </c>
      <c r="D484" t="s">
        <v>722</v>
      </c>
      <c r="E484" t="s">
        <v>722</v>
      </c>
    </row>
    <row r="485" spans="1:6" x14ac:dyDescent="0.35">
      <c r="A485" t="s">
        <v>304</v>
      </c>
      <c r="B485" t="s">
        <v>718</v>
      </c>
      <c r="C485">
        <v>1</v>
      </c>
      <c r="D485" t="s">
        <v>722</v>
      </c>
      <c r="E485" t="s">
        <v>722</v>
      </c>
    </row>
    <row r="486" spans="1:6" x14ac:dyDescent="0.35">
      <c r="A486" t="s">
        <v>305</v>
      </c>
      <c r="B486" t="s">
        <v>718</v>
      </c>
      <c r="C486">
        <f>1 / 5</f>
        <v>0.2</v>
      </c>
      <c r="D486" t="s">
        <v>722</v>
      </c>
      <c r="E486" t="s">
        <v>730</v>
      </c>
      <c r="F486" t="s">
        <v>909</v>
      </c>
    </row>
    <row r="487" spans="1:6" x14ac:dyDescent="0.35">
      <c r="A487" t="s">
        <v>305</v>
      </c>
      <c r="B487" t="s">
        <v>719</v>
      </c>
      <c r="C487">
        <v>1</v>
      </c>
      <c r="D487" t="s">
        <v>723</v>
      </c>
      <c r="E487" t="s">
        <v>723</v>
      </c>
    </row>
    <row r="488" spans="1:6" x14ac:dyDescent="0.35">
      <c r="A488" t="s">
        <v>306</v>
      </c>
      <c r="B488" t="s">
        <v>718</v>
      </c>
      <c r="C488">
        <f>1 / 10</f>
        <v>0.1</v>
      </c>
      <c r="D488" t="s">
        <v>722</v>
      </c>
      <c r="E488" t="s">
        <v>730</v>
      </c>
      <c r="F488" t="s">
        <v>911</v>
      </c>
    </row>
    <row r="489" spans="1:6" x14ac:dyDescent="0.35">
      <c r="A489" t="s">
        <v>306</v>
      </c>
      <c r="B489" t="s">
        <v>719</v>
      </c>
      <c r="C489">
        <f>1 * 3.6</f>
        <v>3.6</v>
      </c>
      <c r="D489" t="s">
        <v>727</v>
      </c>
      <c r="E489" t="s">
        <v>723</v>
      </c>
    </row>
    <row r="490" spans="1:6" x14ac:dyDescent="0.35">
      <c r="A490" t="s">
        <v>307</v>
      </c>
      <c r="B490" t="s">
        <v>717</v>
      </c>
      <c r="C490">
        <f>1 * 3.6 / 43</f>
        <v>8.3720930232558138E-2</v>
      </c>
      <c r="D490" t="s">
        <v>721</v>
      </c>
      <c r="E490" t="s">
        <v>723</v>
      </c>
      <c r="F490" t="s">
        <v>782</v>
      </c>
    </row>
    <row r="491" spans="1:6" x14ac:dyDescent="0.35">
      <c r="A491" t="s">
        <v>308</v>
      </c>
      <c r="B491" t="s">
        <v>718</v>
      </c>
      <c r="C491">
        <f>1 * 8760 * 0.093 / (0.75 * 22660)</f>
        <v>4.7936451897616944E-2</v>
      </c>
      <c r="D491" t="s">
        <v>722</v>
      </c>
      <c r="E491" t="s">
        <v>733</v>
      </c>
      <c r="F491" t="s">
        <v>783</v>
      </c>
    </row>
    <row r="492" spans="1:6" x14ac:dyDescent="0.35">
      <c r="A492" t="s">
        <v>308</v>
      </c>
      <c r="B492" t="s">
        <v>719</v>
      </c>
      <c r="C492">
        <f>1/0.75</f>
        <v>1.3333333333333333</v>
      </c>
      <c r="D492" t="s">
        <v>726</v>
      </c>
      <c r="E492" t="s">
        <v>729</v>
      </c>
      <c r="F492" t="s">
        <v>889</v>
      </c>
    </row>
    <row r="493" spans="1:6" x14ac:dyDescent="0.35">
      <c r="A493" t="s">
        <v>309</v>
      </c>
      <c r="B493" t="s">
        <v>718</v>
      </c>
      <c r="C493">
        <f>1 * 8760 * 0.093 / (0.75 * 22660)</f>
        <v>4.7936451897616944E-2</v>
      </c>
      <c r="D493" t="s">
        <v>722</v>
      </c>
      <c r="E493" t="s">
        <v>733</v>
      </c>
      <c r="F493" t="s">
        <v>783</v>
      </c>
    </row>
    <row r="494" spans="1:6" x14ac:dyDescent="0.35">
      <c r="A494" t="s">
        <v>309</v>
      </c>
      <c r="B494" t="s">
        <v>719</v>
      </c>
      <c r="C494">
        <f>1/0.75</f>
        <v>1.3333333333333333</v>
      </c>
      <c r="D494" t="s">
        <v>726</v>
      </c>
      <c r="E494" t="s">
        <v>729</v>
      </c>
      <c r="F494" t="s">
        <v>889</v>
      </c>
    </row>
    <row r="495" spans="1:6" x14ac:dyDescent="0.35">
      <c r="A495" t="s">
        <v>310</v>
      </c>
      <c r="B495" t="s">
        <v>718</v>
      </c>
      <c r="C495">
        <f>1 * 8760 * 0.093 / (0.75 * 22660)</f>
        <v>4.7936451897616944E-2</v>
      </c>
      <c r="D495" t="s">
        <v>722</v>
      </c>
      <c r="E495" t="s">
        <v>733</v>
      </c>
      <c r="F495" t="s">
        <v>783</v>
      </c>
    </row>
    <row r="496" spans="1:6" x14ac:dyDescent="0.35">
      <c r="A496" t="s">
        <v>310</v>
      </c>
      <c r="B496" t="s">
        <v>719</v>
      </c>
      <c r="C496">
        <f>1/0.75</f>
        <v>1.3333333333333333</v>
      </c>
      <c r="D496" t="s">
        <v>726</v>
      </c>
      <c r="E496" t="s">
        <v>729</v>
      </c>
      <c r="F496" t="s">
        <v>889</v>
      </c>
    </row>
    <row r="497" spans="1:6" x14ac:dyDescent="0.35">
      <c r="A497" t="s">
        <v>311</v>
      </c>
      <c r="B497" t="s">
        <v>718</v>
      </c>
      <c r="C497">
        <f>1 * 8760 * 0.093 / (0.75 * 22660)</f>
        <v>4.7936451897616944E-2</v>
      </c>
      <c r="D497" t="s">
        <v>722</v>
      </c>
      <c r="E497" t="s">
        <v>733</v>
      </c>
      <c r="F497" t="s">
        <v>783</v>
      </c>
    </row>
    <row r="498" spans="1:6" x14ac:dyDescent="0.35">
      <c r="A498" t="s">
        <v>311</v>
      </c>
      <c r="B498" t="s">
        <v>719</v>
      </c>
      <c r="C498">
        <f>1/0.75</f>
        <v>1.3333333333333333</v>
      </c>
      <c r="D498" t="s">
        <v>726</v>
      </c>
      <c r="E498" t="s">
        <v>729</v>
      </c>
      <c r="F498" t="s">
        <v>889</v>
      </c>
    </row>
    <row r="499" spans="1:6" x14ac:dyDescent="0.35">
      <c r="A499" t="s">
        <v>312</v>
      </c>
      <c r="B499" t="s">
        <v>718</v>
      </c>
      <c r="C499">
        <f>1 * 8760 * 0.093 / (0.75 * 22660)</f>
        <v>4.7936451897616944E-2</v>
      </c>
      <c r="D499" t="s">
        <v>722</v>
      </c>
      <c r="E499" t="s">
        <v>733</v>
      </c>
      <c r="F499" t="s">
        <v>783</v>
      </c>
    </row>
    <row r="500" spans="1:6" x14ac:dyDescent="0.35">
      <c r="A500" t="s">
        <v>312</v>
      </c>
      <c r="B500" t="s">
        <v>719</v>
      </c>
      <c r="C500">
        <f>1/0.75</f>
        <v>1.3333333333333333</v>
      </c>
      <c r="D500" t="s">
        <v>726</v>
      </c>
      <c r="E500" t="s">
        <v>729</v>
      </c>
      <c r="F500" t="s">
        <v>889</v>
      </c>
    </row>
    <row r="501" spans="1:6" x14ac:dyDescent="0.35">
      <c r="A501" t="s">
        <v>313</v>
      </c>
      <c r="B501" t="s">
        <v>718</v>
      </c>
      <c r="C501">
        <f>1 * 8760 * 0.093 / (0.75 * 22660)</f>
        <v>4.7936451897616944E-2</v>
      </c>
      <c r="D501" t="s">
        <v>722</v>
      </c>
      <c r="E501" t="s">
        <v>733</v>
      </c>
      <c r="F501" t="s">
        <v>783</v>
      </c>
    </row>
    <row r="502" spans="1:6" x14ac:dyDescent="0.35">
      <c r="A502" t="s">
        <v>313</v>
      </c>
      <c r="B502" t="s">
        <v>719</v>
      </c>
      <c r="C502">
        <f>1/0.75</f>
        <v>1.3333333333333333</v>
      </c>
      <c r="D502" t="s">
        <v>726</v>
      </c>
      <c r="E502" t="s">
        <v>729</v>
      </c>
      <c r="F502" t="s">
        <v>889</v>
      </c>
    </row>
    <row r="503" spans="1:6" x14ac:dyDescent="0.35">
      <c r="A503" t="s">
        <v>314</v>
      </c>
      <c r="B503" t="s">
        <v>718</v>
      </c>
      <c r="C503">
        <f>1 * 8760 * 0.093 / (0.75 * 22660)</f>
        <v>4.7936451897616944E-2</v>
      </c>
      <c r="D503" t="s">
        <v>722</v>
      </c>
      <c r="E503" t="s">
        <v>733</v>
      </c>
      <c r="F503" t="s">
        <v>783</v>
      </c>
    </row>
    <row r="504" spans="1:6" x14ac:dyDescent="0.35">
      <c r="A504" t="s">
        <v>314</v>
      </c>
      <c r="B504" t="s">
        <v>719</v>
      </c>
      <c r="C504">
        <f>1/0.75</f>
        <v>1.3333333333333333</v>
      </c>
      <c r="D504" t="s">
        <v>726</v>
      </c>
      <c r="E504" t="s">
        <v>729</v>
      </c>
      <c r="F504" t="s">
        <v>889</v>
      </c>
    </row>
    <row r="505" spans="1:6" x14ac:dyDescent="0.35">
      <c r="A505" t="s">
        <v>315</v>
      </c>
      <c r="B505" t="s">
        <v>718</v>
      </c>
      <c r="C505">
        <f>1 * 8760 * 0.093 / (0.75 * 22660)</f>
        <v>4.7936451897616944E-2</v>
      </c>
      <c r="D505" t="s">
        <v>722</v>
      </c>
      <c r="E505" t="s">
        <v>733</v>
      </c>
      <c r="F505" t="s">
        <v>783</v>
      </c>
    </row>
    <row r="506" spans="1:6" x14ac:dyDescent="0.35">
      <c r="A506" t="s">
        <v>315</v>
      </c>
      <c r="B506" t="s">
        <v>719</v>
      </c>
      <c r="C506">
        <f>1/0.75</f>
        <v>1.3333333333333333</v>
      </c>
      <c r="D506" t="s">
        <v>726</v>
      </c>
      <c r="E506" t="s">
        <v>729</v>
      </c>
      <c r="F506" t="s">
        <v>889</v>
      </c>
    </row>
    <row r="507" spans="1:6" x14ac:dyDescent="0.35">
      <c r="A507" t="s">
        <v>316</v>
      </c>
      <c r="B507" t="s">
        <v>718</v>
      </c>
      <c r="C507">
        <f>1 * 8760 * 0.093 / (0.75 * 22660)</f>
        <v>4.7936451897616944E-2</v>
      </c>
      <c r="D507" t="s">
        <v>722</v>
      </c>
      <c r="E507" t="s">
        <v>733</v>
      </c>
      <c r="F507" t="s">
        <v>783</v>
      </c>
    </row>
    <row r="508" spans="1:6" x14ac:dyDescent="0.35">
      <c r="A508" t="s">
        <v>316</v>
      </c>
      <c r="B508" t="s">
        <v>719</v>
      </c>
      <c r="C508">
        <f>1/0.75</f>
        <v>1.3333333333333333</v>
      </c>
      <c r="D508" t="s">
        <v>726</v>
      </c>
      <c r="E508" t="s">
        <v>729</v>
      </c>
      <c r="F508" t="s">
        <v>889</v>
      </c>
    </row>
    <row r="509" spans="1:6" x14ac:dyDescent="0.35">
      <c r="A509" t="s">
        <v>317</v>
      </c>
      <c r="B509" t="s">
        <v>718</v>
      </c>
      <c r="C509">
        <f>1 * 8760 * 0.093 / (0.75 * 22660)</f>
        <v>4.7936451897616944E-2</v>
      </c>
      <c r="D509" t="s">
        <v>722</v>
      </c>
      <c r="E509" t="s">
        <v>733</v>
      </c>
      <c r="F509" t="s">
        <v>783</v>
      </c>
    </row>
    <row r="510" spans="1:6" x14ac:dyDescent="0.35">
      <c r="A510" t="s">
        <v>317</v>
      </c>
      <c r="B510" t="s">
        <v>719</v>
      </c>
      <c r="C510">
        <f>1/0.75</f>
        <v>1.3333333333333333</v>
      </c>
      <c r="D510" t="s">
        <v>726</v>
      </c>
      <c r="E510" t="s">
        <v>729</v>
      </c>
      <c r="F510" t="s">
        <v>889</v>
      </c>
    </row>
    <row r="511" spans="1:6" x14ac:dyDescent="0.35">
      <c r="A511" t="s">
        <v>318</v>
      </c>
      <c r="B511" t="s">
        <v>718</v>
      </c>
      <c r="C511">
        <f>1 * 8760 * 0.093 / (0.75 * 22660)</f>
        <v>4.7936451897616944E-2</v>
      </c>
      <c r="D511" t="s">
        <v>722</v>
      </c>
      <c r="E511" t="s">
        <v>733</v>
      </c>
      <c r="F511" t="s">
        <v>783</v>
      </c>
    </row>
    <row r="512" spans="1:6" x14ac:dyDescent="0.35">
      <c r="A512" t="s">
        <v>318</v>
      </c>
      <c r="B512" t="s">
        <v>719</v>
      </c>
      <c r="C512">
        <f>1/0.75</f>
        <v>1.3333333333333333</v>
      </c>
      <c r="D512" t="s">
        <v>726</v>
      </c>
      <c r="E512" t="s">
        <v>729</v>
      </c>
      <c r="F512" t="s">
        <v>889</v>
      </c>
    </row>
    <row r="513" spans="1:6" x14ac:dyDescent="0.35">
      <c r="A513" t="s">
        <v>319</v>
      </c>
      <c r="B513" t="s">
        <v>718</v>
      </c>
      <c r="C513">
        <f>1 * 8760 * 0.093 / (0.75 * 22660)</f>
        <v>4.7936451897616944E-2</v>
      </c>
      <c r="D513" t="s">
        <v>722</v>
      </c>
      <c r="E513" t="s">
        <v>733</v>
      </c>
      <c r="F513" t="s">
        <v>783</v>
      </c>
    </row>
    <row r="514" spans="1:6" x14ac:dyDescent="0.35">
      <c r="A514" t="s">
        <v>319</v>
      </c>
      <c r="B514" t="s">
        <v>719</v>
      </c>
      <c r="C514">
        <f>1/0.75</f>
        <v>1.3333333333333333</v>
      </c>
      <c r="D514" t="s">
        <v>726</v>
      </c>
      <c r="E514" t="s">
        <v>729</v>
      </c>
      <c r="F514" t="s">
        <v>889</v>
      </c>
    </row>
    <row r="515" spans="1:6" x14ac:dyDescent="0.35">
      <c r="A515" t="s">
        <v>320</v>
      </c>
      <c r="B515" t="s">
        <v>718</v>
      </c>
      <c r="C515">
        <f>1 * 8760 * 0.093 / (0.75 * 22660)</f>
        <v>4.7936451897616944E-2</v>
      </c>
      <c r="D515" t="s">
        <v>722</v>
      </c>
      <c r="E515" t="s">
        <v>733</v>
      </c>
      <c r="F515" t="s">
        <v>783</v>
      </c>
    </row>
    <row r="516" spans="1:6" x14ac:dyDescent="0.35">
      <c r="A516" t="s">
        <v>320</v>
      </c>
      <c r="B516" t="s">
        <v>719</v>
      </c>
      <c r="C516">
        <f>1/0.75</f>
        <v>1.3333333333333333</v>
      </c>
      <c r="D516" t="s">
        <v>726</v>
      </c>
      <c r="E516" t="s">
        <v>729</v>
      </c>
      <c r="F516" t="s">
        <v>889</v>
      </c>
    </row>
    <row r="517" spans="1:6" x14ac:dyDescent="0.35">
      <c r="A517" t="s">
        <v>321</v>
      </c>
      <c r="B517" t="s">
        <v>718</v>
      </c>
      <c r="C517">
        <f>1 * 8760 * 0.093 / (0.75 * 22660)</f>
        <v>4.7936451897616944E-2</v>
      </c>
      <c r="D517" t="s">
        <v>722</v>
      </c>
      <c r="E517" t="s">
        <v>733</v>
      </c>
      <c r="F517" t="s">
        <v>783</v>
      </c>
    </row>
    <row r="518" spans="1:6" x14ac:dyDescent="0.35">
      <c r="A518" t="s">
        <v>321</v>
      </c>
      <c r="B518" t="s">
        <v>719</v>
      </c>
      <c r="C518">
        <f>1/0.75</f>
        <v>1.3333333333333333</v>
      </c>
      <c r="D518" t="s">
        <v>726</v>
      </c>
      <c r="E518" t="s">
        <v>729</v>
      </c>
      <c r="F518" t="s">
        <v>889</v>
      </c>
    </row>
    <row r="519" spans="1:6" x14ac:dyDescent="0.35">
      <c r="A519" t="s">
        <v>322</v>
      </c>
      <c r="B519" t="s">
        <v>718</v>
      </c>
      <c r="C519">
        <f>1 * 8760 * 0.093 / (0.75 * 22660)</f>
        <v>4.7936451897616944E-2</v>
      </c>
      <c r="D519" t="s">
        <v>722</v>
      </c>
      <c r="E519" t="s">
        <v>733</v>
      </c>
      <c r="F519" t="s">
        <v>783</v>
      </c>
    </row>
    <row r="520" spans="1:6" x14ac:dyDescent="0.35">
      <c r="A520" t="s">
        <v>322</v>
      </c>
      <c r="B520" t="s">
        <v>719</v>
      </c>
      <c r="C520">
        <f>1/0.75</f>
        <v>1.3333333333333333</v>
      </c>
      <c r="D520" t="s">
        <v>726</v>
      </c>
      <c r="E520" t="s">
        <v>729</v>
      </c>
      <c r="F520" t="s">
        <v>889</v>
      </c>
    </row>
    <row r="521" spans="1:6" x14ac:dyDescent="0.35">
      <c r="A521" t="s">
        <v>323</v>
      </c>
      <c r="B521" t="s">
        <v>718</v>
      </c>
      <c r="C521">
        <f>1 * 8760 * 0.093 / (0.75 * 22660)</f>
        <v>4.7936451897616944E-2</v>
      </c>
      <c r="D521" t="s">
        <v>722</v>
      </c>
      <c r="E521" t="s">
        <v>733</v>
      </c>
      <c r="F521" t="s">
        <v>783</v>
      </c>
    </row>
    <row r="522" spans="1:6" x14ac:dyDescent="0.35">
      <c r="A522" t="s">
        <v>323</v>
      </c>
      <c r="B522" t="s">
        <v>719</v>
      </c>
      <c r="C522">
        <f>1/0.75</f>
        <v>1.3333333333333333</v>
      </c>
      <c r="D522" t="s">
        <v>726</v>
      </c>
      <c r="E522" t="s">
        <v>729</v>
      </c>
      <c r="F522" t="s">
        <v>889</v>
      </c>
    </row>
    <row r="523" spans="1:6" x14ac:dyDescent="0.35">
      <c r="A523" t="s">
        <v>324</v>
      </c>
      <c r="B523" t="s">
        <v>718</v>
      </c>
      <c r="C523">
        <f>1 * 8760 * 0.093 / (0.75 * 22660)</f>
        <v>4.7936451897616944E-2</v>
      </c>
      <c r="D523" t="s">
        <v>722</v>
      </c>
      <c r="E523" t="s">
        <v>733</v>
      </c>
      <c r="F523" t="s">
        <v>783</v>
      </c>
    </row>
    <row r="524" spans="1:6" x14ac:dyDescent="0.35">
      <c r="A524" t="s">
        <v>324</v>
      </c>
      <c r="B524" t="s">
        <v>719</v>
      </c>
      <c r="C524">
        <f>1/0.75</f>
        <v>1.3333333333333333</v>
      </c>
      <c r="D524" t="s">
        <v>726</v>
      </c>
      <c r="E524" t="s">
        <v>729</v>
      </c>
      <c r="F524" t="s">
        <v>889</v>
      </c>
    </row>
    <row r="525" spans="1:6" x14ac:dyDescent="0.35">
      <c r="A525" t="s">
        <v>325</v>
      </c>
      <c r="B525" t="s">
        <v>718</v>
      </c>
      <c r="C525">
        <f>1 * 8760 * 0.093 / (0.75 * 22660)</f>
        <v>4.7936451897616944E-2</v>
      </c>
      <c r="D525" t="s">
        <v>722</v>
      </c>
      <c r="E525" t="s">
        <v>733</v>
      </c>
      <c r="F525" t="s">
        <v>783</v>
      </c>
    </row>
    <row r="526" spans="1:6" x14ac:dyDescent="0.35">
      <c r="A526" t="s">
        <v>325</v>
      </c>
      <c r="B526" t="s">
        <v>719</v>
      </c>
      <c r="C526">
        <f>1/0.75</f>
        <v>1.3333333333333333</v>
      </c>
      <c r="D526" t="s">
        <v>726</v>
      </c>
      <c r="E526" t="s">
        <v>729</v>
      </c>
      <c r="F526" t="s">
        <v>889</v>
      </c>
    </row>
    <row r="527" spans="1:6" x14ac:dyDescent="0.35">
      <c r="A527" t="s">
        <v>326</v>
      </c>
      <c r="B527" t="s">
        <v>717</v>
      </c>
      <c r="C527">
        <f>1 * 3.6 / 42.6</f>
        <v>8.4507042253521125E-2</v>
      </c>
      <c r="D527" t="s">
        <v>721</v>
      </c>
      <c r="E527" t="s">
        <v>723</v>
      </c>
      <c r="F527" t="s">
        <v>784</v>
      </c>
    </row>
    <row r="528" spans="1:6" x14ac:dyDescent="0.35">
      <c r="A528" t="s">
        <v>327</v>
      </c>
      <c r="B528" t="s">
        <v>717</v>
      </c>
      <c r="C528">
        <f>1 * 3.6 / 39</f>
        <v>9.2307692307692313E-2</v>
      </c>
      <c r="D528" t="s">
        <v>724</v>
      </c>
      <c r="E528" t="s">
        <v>723</v>
      </c>
      <c r="F528" t="s">
        <v>785</v>
      </c>
    </row>
    <row r="529" spans="1:6" x14ac:dyDescent="0.35">
      <c r="A529" t="s">
        <v>328</v>
      </c>
      <c r="B529" t="s">
        <v>718</v>
      </c>
      <c r="C529">
        <f>120472/23550000</f>
        <v>5.1155838641188962E-3</v>
      </c>
      <c r="D529" t="s">
        <v>726</v>
      </c>
      <c r="E529" t="s">
        <v>730</v>
      </c>
      <c r="F529" t="s">
        <v>1030</v>
      </c>
    </row>
    <row r="530" spans="1:6" x14ac:dyDescent="0.35">
      <c r="A530" t="s">
        <v>329</v>
      </c>
      <c r="B530" t="s">
        <v>718</v>
      </c>
      <c r="C530">
        <f>3.6 * 8760 * 0.86 / (0.05 * 1000 * 50.285) / 1000000</f>
        <v>1.0786898677538034E-5</v>
      </c>
      <c r="D530" t="s">
        <v>722</v>
      </c>
      <c r="E530" t="s">
        <v>730</v>
      </c>
      <c r="F530" t="s">
        <v>786</v>
      </c>
    </row>
    <row r="531" spans="1:6" x14ac:dyDescent="0.35">
      <c r="A531" t="s">
        <v>329</v>
      </c>
      <c r="B531" t="s">
        <v>719</v>
      </c>
      <c r="C531">
        <f>3.6 / 50.285</f>
        <v>7.1591926021676452E-2</v>
      </c>
      <c r="D531" t="s">
        <v>721</v>
      </c>
      <c r="E531" t="s">
        <v>723</v>
      </c>
      <c r="F531" t="s">
        <v>886</v>
      </c>
    </row>
    <row r="532" spans="1:6" x14ac:dyDescent="0.35">
      <c r="A532" t="s">
        <v>330</v>
      </c>
      <c r="B532" t="s">
        <v>718</v>
      </c>
      <c r="C532">
        <f>1/5 / 1000</f>
        <v>2.0000000000000001E-4</v>
      </c>
      <c r="D532" t="s">
        <v>722</v>
      </c>
      <c r="E532" t="s">
        <v>730</v>
      </c>
      <c r="F532" t="s">
        <v>933</v>
      </c>
    </row>
    <row r="533" spans="1:6" x14ac:dyDescent="0.35">
      <c r="A533" t="s">
        <v>330</v>
      </c>
      <c r="B533" t="s">
        <v>719</v>
      </c>
      <c r="C533">
        <f>1 / 13.1</f>
        <v>7.6335877862595422E-2</v>
      </c>
      <c r="D533" t="s">
        <v>721</v>
      </c>
      <c r="E533" t="s">
        <v>723</v>
      </c>
      <c r="F533" t="s">
        <v>787</v>
      </c>
    </row>
    <row r="534" spans="1:6" x14ac:dyDescent="0.35">
      <c r="A534" t="s">
        <v>331</v>
      </c>
      <c r="B534" t="s">
        <v>718</v>
      </c>
      <c r="C534">
        <f>(24*0.86)/2.7 / 1000000</f>
        <v>7.6444444444444432E-6</v>
      </c>
      <c r="D534" t="s">
        <v>722</v>
      </c>
      <c r="E534" t="s">
        <v>730</v>
      </c>
      <c r="F534" t="s">
        <v>788</v>
      </c>
    </row>
    <row r="535" spans="1:6" x14ac:dyDescent="0.35">
      <c r="A535" t="s">
        <v>331</v>
      </c>
      <c r="B535" t="s">
        <v>719</v>
      </c>
      <c r="C535">
        <f>1 / 5.54</f>
        <v>0.18050541516245489</v>
      </c>
      <c r="D535" t="s">
        <v>721</v>
      </c>
      <c r="E535" t="s">
        <v>723</v>
      </c>
      <c r="F535" t="s">
        <v>890</v>
      </c>
    </row>
    <row r="536" spans="1:6" x14ac:dyDescent="0.35">
      <c r="A536" t="s">
        <v>332</v>
      </c>
      <c r="B536" t="s">
        <v>717</v>
      </c>
      <c r="C536">
        <f>1 / 5.54</f>
        <v>0.18050541516245489</v>
      </c>
      <c r="D536" t="s">
        <v>721</v>
      </c>
      <c r="E536" t="s">
        <v>723</v>
      </c>
      <c r="F536" t="s">
        <v>789</v>
      </c>
    </row>
    <row r="537" spans="1:6" x14ac:dyDescent="0.35">
      <c r="A537" t="s">
        <v>333</v>
      </c>
      <c r="B537" t="s">
        <v>718</v>
      </c>
      <c r="C537">
        <f>3.6 * 8760 * 0.86 / (0.05 * 1000 * 14.55) / 1000000</f>
        <v>3.7279670103092786E-5</v>
      </c>
      <c r="D537" t="s">
        <v>722</v>
      </c>
      <c r="E537" t="s">
        <v>730</v>
      </c>
      <c r="F537" t="s">
        <v>790</v>
      </c>
    </row>
    <row r="538" spans="1:6" x14ac:dyDescent="0.35">
      <c r="A538" t="s">
        <v>333</v>
      </c>
      <c r="B538" t="s">
        <v>719</v>
      </c>
      <c r="C538">
        <f>3.6 / 14.55</f>
        <v>0.24742268041237112</v>
      </c>
      <c r="D538" t="s">
        <v>721</v>
      </c>
      <c r="E538" t="s">
        <v>723</v>
      </c>
      <c r="F538" t="s">
        <v>734</v>
      </c>
    </row>
    <row r="539" spans="1:6" x14ac:dyDescent="0.35">
      <c r="A539" t="s">
        <v>334</v>
      </c>
      <c r="B539" t="s">
        <v>718</v>
      </c>
      <c r="C539">
        <f>(24*0.86)/2.7 / 1000000</f>
        <v>7.6444444444444432E-6</v>
      </c>
      <c r="D539" t="s">
        <v>722</v>
      </c>
      <c r="E539" t="s">
        <v>730</v>
      </c>
      <c r="F539" t="s">
        <v>791</v>
      </c>
    </row>
    <row r="540" spans="1:6" x14ac:dyDescent="0.35">
      <c r="A540" t="s">
        <v>334</v>
      </c>
      <c r="B540" t="s">
        <v>719</v>
      </c>
      <c r="C540">
        <f>1 / 5.54</f>
        <v>0.18050541516245489</v>
      </c>
      <c r="D540" t="s">
        <v>721</v>
      </c>
      <c r="E540" t="s">
        <v>723</v>
      </c>
      <c r="F540" t="s">
        <v>789</v>
      </c>
    </row>
    <row r="541" spans="1:6" x14ac:dyDescent="0.35">
      <c r="A541" t="s">
        <v>335</v>
      </c>
      <c r="B541" t="s">
        <v>718</v>
      </c>
      <c r="C541">
        <f>3.6 * 8760 * 0.86 / (0.05 * 1000 * 41.833) / 1000000</f>
        <v>1.2966299333062415E-5</v>
      </c>
      <c r="D541" t="s">
        <v>722</v>
      </c>
      <c r="E541" t="s">
        <v>730</v>
      </c>
      <c r="F541" t="s">
        <v>792</v>
      </c>
    </row>
    <row r="542" spans="1:6" x14ac:dyDescent="0.35">
      <c r="A542" t="s">
        <v>335</v>
      </c>
      <c r="B542" t="s">
        <v>719</v>
      </c>
      <c r="C542">
        <f>3.6 / 41.833</f>
        <v>8.6056462601295639E-2</v>
      </c>
      <c r="D542" t="s">
        <v>721</v>
      </c>
      <c r="E542" t="s">
        <v>723</v>
      </c>
      <c r="F542" t="s">
        <v>891</v>
      </c>
    </row>
    <row r="543" spans="1:6" x14ac:dyDescent="0.35">
      <c r="A543" t="s">
        <v>336</v>
      </c>
      <c r="B543" t="s">
        <v>718</v>
      </c>
      <c r="C543">
        <f>3.6 * 8760 * 0.86 / (0.05 * 1000 * 50.285) / 1000000</f>
        <v>1.0786898677538034E-5</v>
      </c>
      <c r="D543" t="s">
        <v>722</v>
      </c>
      <c r="E543" t="s">
        <v>730</v>
      </c>
      <c r="F543" t="s">
        <v>786</v>
      </c>
    </row>
    <row r="544" spans="1:6" x14ac:dyDescent="0.35">
      <c r="A544" t="s">
        <v>336</v>
      </c>
      <c r="B544" t="s">
        <v>719</v>
      </c>
      <c r="C544">
        <f>3.6 / 50.285</f>
        <v>7.1591926021676452E-2</v>
      </c>
      <c r="D544" t="s">
        <v>721</v>
      </c>
      <c r="E544" t="s">
        <v>723</v>
      </c>
      <c r="F544" t="s">
        <v>886</v>
      </c>
    </row>
    <row r="545" spans="1:6" x14ac:dyDescent="0.35">
      <c r="A545" t="s">
        <v>337</v>
      </c>
      <c r="B545" t="s">
        <v>719</v>
      </c>
      <c r="C545">
        <f>1</f>
        <v>1</v>
      </c>
      <c r="D545" t="s">
        <v>721</v>
      </c>
      <c r="E545" t="s">
        <v>721</v>
      </c>
    </row>
    <row r="546" spans="1:6" x14ac:dyDescent="0.35">
      <c r="A546" t="s">
        <v>338</v>
      </c>
      <c r="B546" t="s">
        <v>718</v>
      </c>
      <c r="C546">
        <f>108096/21450000</f>
        <v>5.039440559440559E-3</v>
      </c>
      <c r="D546" t="s">
        <v>726</v>
      </c>
      <c r="E546" t="s">
        <v>730</v>
      </c>
      <c r="F546" t="s">
        <v>1031</v>
      </c>
    </row>
    <row r="547" spans="1:6" x14ac:dyDescent="0.35">
      <c r="A547" t="s">
        <v>339</v>
      </c>
      <c r="B547" t="s">
        <v>718</v>
      </c>
      <c r="C547">
        <f>1 / 22583 / 1000</f>
        <v>4.4281096399946864E-8</v>
      </c>
      <c r="D547" t="s">
        <v>722</v>
      </c>
      <c r="E547" t="s">
        <v>730</v>
      </c>
      <c r="F547" t="s">
        <v>924</v>
      </c>
    </row>
    <row r="548" spans="1:6" x14ac:dyDescent="0.35">
      <c r="A548" t="s">
        <v>339</v>
      </c>
      <c r="B548" t="s">
        <v>719</v>
      </c>
      <c r="C548">
        <f>1</f>
        <v>1</v>
      </c>
      <c r="D548" t="s">
        <v>723</v>
      </c>
      <c r="E548" t="s">
        <v>723</v>
      </c>
    </row>
    <row r="549" spans="1:6" x14ac:dyDescent="0.35">
      <c r="A549" t="s">
        <v>340</v>
      </c>
      <c r="B549" t="s">
        <v>718</v>
      </c>
      <c r="C549">
        <f>1/13787 / 1000</f>
        <v>7.2532095452237618E-8</v>
      </c>
      <c r="D549" t="s">
        <v>722</v>
      </c>
      <c r="E549" t="s">
        <v>730</v>
      </c>
      <c r="F549" t="s">
        <v>926</v>
      </c>
    </row>
    <row r="550" spans="1:6" x14ac:dyDescent="0.35">
      <c r="A550" t="s">
        <v>340</v>
      </c>
      <c r="B550" t="s">
        <v>719</v>
      </c>
      <c r="C550">
        <f>1</f>
        <v>1</v>
      </c>
      <c r="D550" t="s">
        <v>723</v>
      </c>
      <c r="E550" t="s">
        <v>723</v>
      </c>
    </row>
    <row r="551" spans="1:6" x14ac:dyDescent="0.35">
      <c r="A551" t="s">
        <v>341</v>
      </c>
      <c r="B551" t="s">
        <v>718</v>
      </c>
      <c r="C551">
        <f>1*0.004858 / 300</f>
        <v>1.6193333333333333E-5</v>
      </c>
      <c r="D551" t="s">
        <v>722</v>
      </c>
      <c r="E551" t="s">
        <v>730</v>
      </c>
      <c r="F551" t="s">
        <v>968</v>
      </c>
    </row>
    <row r="552" spans="1:6" x14ac:dyDescent="0.35">
      <c r="A552" t="s">
        <v>341</v>
      </c>
      <c r="B552" t="s">
        <v>719</v>
      </c>
      <c r="C552">
        <f>1 * 3.6 / 39</f>
        <v>9.2307692307692313E-2</v>
      </c>
      <c r="D552" t="s">
        <v>724</v>
      </c>
      <c r="E552" t="s">
        <v>723</v>
      </c>
      <c r="F552" t="s">
        <v>793</v>
      </c>
    </row>
    <row r="553" spans="1:6" x14ac:dyDescent="0.35">
      <c r="A553" t="s">
        <v>342</v>
      </c>
      <c r="B553" t="s">
        <v>718</v>
      </c>
      <c r="C553">
        <f>1*0.0202881 / 4</f>
        <v>5.072025E-3</v>
      </c>
      <c r="D553" t="s">
        <v>722</v>
      </c>
      <c r="E553" t="s">
        <v>730</v>
      </c>
      <c r="F553" t="s">
        <v>970</v>
      </c>
    </row>
    <row r="554" spans="1:6" x14ac:dyDescent="0.35">
      <c r="A554" t="s">
        <v>342</v>
      </c>
      <c r="B554" t="s">
        <v>719</v>
      </c>
      <c r="C554">
        <f>1 * 3.6 / 39</f>
        <v>9.2307692307692313E-2</v>
      </c>
      <c r="D554" t="s">
        <v>724</v>
      </c>
      <c r="E554" t="s">
        <v>723</v>
      </c>
      <c r="F554" t="s">
        <v>793</v>
      </c>
    </row>
    <row r="555" spans="1:6" x14ac:dyDescent="0.35">
      <c r="A555" t="s">
        <v>343</v>
      </c>
      <c r="B555" t="s">
        <v>718</v>
      </c>
      <c r="C555">
        <f>1*0.0044572 / 300</f>
        <v>1.4857333333333333E-5</v>
      </c>
      <c r="D555" t="s">
        <v>722</v>
      </c>
      <c r="E555" t="s">
        <v>730</v>
      </c>
      <c r="F555" t="s">
        <v>969</v>
      </c>
    </row>
    <row r="556" spans="1:6" x14ac:dyDescent="0.35">
      <c r="A556" t="s">
        <v>343</v>
      </c>
      <c r="B556" t="s">
        <v>719</v>
      </c>
      <c r="C556">
        <f>1 * 3.6 / 46.5</f>
        <v>7.7419354838709681E-2</v>
      </c>
      <c r="D556" t="s">
        <v>721</v>
      </c>
      <c r="E556" t="s">
        <v>723</v>
      </c>
      <c r="F556" t="s">
        <v>794</v>
      </c>
    </row>
    <row r="557" spans="1:6" x14ac:dyDescent="0.35">
      <c r="A557" t="s">
        <v>344</v>
      </c>
      <c r="B557" t="s">
        <v>717</v>
      </c>
      <c r="C557">
        <f>1 * 3.6 / 39</f>
        <v>9.2307692307692313E-2</v>
      </c>
      <c r="D557" t="s">
        <v>724</v>
      </c>
      <c r="E557" t="s">
        <v>723</v>
      </c>
      <c r="F557" t="s">
        <v>793</v>
      </c>
    </row>
    <row r="558" spans="1:6" x14ac:dyDescent="0.35">
      <c r="A558" t="s">
        <v>345</v>
      </c>
      <c r="B558" t="s">
        <v>719</v>
      </c>
      <c r="C558">
        <f>1 * 3.6 / 39</f>
        <v>9.2307692307692313E-2</v>
      </c>
      <c r="D558" t="s">
        <v>724</v>
      </c>
      <c r="E558" t="s">
        <v>723</v>
      </c>
      <c r="F558" t="s">
        <v>793</v>
      </c>
    </row>
    <row r="559" spans="1:6" x14ac:dyDescent="0.35">
      <c r="A559" t="s">
        <v>346</v>
      </c>
      <c r="B559" t="s">
        <v>718</v>
      </c>
      <c r="C559">
        <f>1*0.004858 / 160</f>
        <v>3.0362500000000003E-5</v>
      </c>
      <c r="D559" t="s">
        <v>722</v>
      </c>
      <c r="E559" t="s">
        <v>730</v>
      </c>
      <c r="F559" t="s">
        <v>974</v>
      </c>
    </row>
    <row r="560" spans="1:6" x14ac:dyDescent="0.35">
      <c r="A560" t="s">
        <v>346</v>
      </c>
      <c r="B560" t="s">
        <v>719</v>
      </c>
      <c r="C560">
        <f>1 * 3.6 / 39</f>
        <v>9.2307692307692313E-2</v>
      </c>
      <c r="D560" t="s">
        <v>724</v>
      </c>
      <c r="E560" t="s">
        <v>723</v>
      </c>
      <c r="F560" t="s">
        <v>793</v>
      </c>
    </row>
    <row r="561" spans="1:6" x14ac:dyDescent="0.35">
      <c r="A561" t="s">
        <v>347</v>
      </c>
      <c r="B561" t="s">
        <v>719</v>
      </c>
      <c r="C561">
        <f>1 * 3.6 / 39</f>
        <v>9.2307692307692313E-2</v>
      </c>
      <c r="D561" t="s">
        <v>724</v>
      </c>
      <c r="E561" t="s">
        <v>723</v>
      </c>
      <c r="F561" t="s">
        <v>793</v>
      </c>
    </row>
    <row r="562" spans="1:6" x14ac:dyDescent="0.35">
      <c r="A562" t="s">
        <v>348</v>
      </c>
      <c r="B562" t="s">
        <v>718</v>
      </c>
      <c r="C562">
        <f>1*0.0044572 / 160</f>
        <v>2.7857499999999999E-5</v>
      </c>
      <c r="D562" t="s">
        <v>722</v>
      </c>
      <c r="E562" t="s">
        <v>730</v>
      </c>
      <c r="F562" t="s">
        <v>976</v>
      </c>
    </row>
    <row r="563" spans="1:6" x14ac:dyDescent="0.35">
      <c r="A563" t="s">
        <v>348</v>
      </c>
      <c r="B563" t="s">
        <v>719</v>
      </c>
      <c r="C563">
        <f>1 * 3.6 / 39</f>
        <v>9.2307692307692313E-2</v>
      </c>
      <c r="D563" t="s">
        <v>724</v>
      </c>
      <c r="E563" t="s">
        <v>723</v>
      </c>
      <c r="F563" t="s">
        <v>793</v>
      </c>
    </row>
    <row r="564" spans="1:6" x14ac:dyDescent="0.35">
      <c r="A564" t="s">
        <v>349</v>
      </c>
      <c r="B564" t="s">
        <v>719</v>
      </c>
      <c r="C564">
        <f>1 * 3.6 / 46.5</f>
        <v>7.7419354838709681E-2</v>
      </c>
      <c r="D564" t="s">
        <v>721</v>
      </c>
      <c r="E564" t="s">
        <v>723</v>
      </c>
      <c r="F564" t="s">
        <v>794</v>
      </c>
    </row>
    <row r="565" spans="1:6" x14ac:dyDescent="0.35">
      <c r="A565" t="s">
        <v>350</v>
      </c>
      <c r="B565" t="s">
        <v>718</v>
      </c>
      <c r="C565">
        <f>1*0.0202881 / 160</f>
        <v>1.2680062499999999E-4</v>
      </c>
      <c r="D565" t="s">
        <v>722</v>
      </c>
      <c r="E565" t="s">
        <v>730</v>
      </c>
      <c r="F565" t="s">
        <v>978</v>
      </c>
    </row>
    <row r="566" spans="1:6" x14ac:dyDescent="0.35">
      <c r="A566" t="s">
        <v>350</v>
      </c>
      <c r="B566" t="s">
        <v>719</v>
      </c>
      <c r="C566">
        <f>1 * 3.6 / 46.5</f>
        <v>7.7419354838709681E-2</v>
      </c>
      <c r="D566" t="s">
        <v>721</v>
      </c>
      <c r="E566" t="s">
        <v>723</v>
      </c>
      <c r="F566" t="s">
        <v>794</v>
      </c>
    </row>
    <row r="567" spans="1:6" x14ac:dyDescent="0.35">
      <c r="A567" t="s">
        <v>351</v>
      </c>
      <c r="B567" t="s">
        <v>717</v>
      </c>
      <c r="C567">
        <f>1 * 3.6 / 39</f>
        <v>9.2307692307692313E-2</v>
      </c>
      <c r="D567" t="s">
        <v>724</v>
      </c>
      <c r="E567" t="s">
        <v>723</v>
      </c>
      <c r="F567" t="s">
        <v>793</v>
      </c>
    </row>
    <row r="568" spans="1:6" x14ac:dyDescent="0.35">
      <c r="A568" t="s">
        <v>352</v>
      </c>
      <c r="B568" t="s">
        <v>717</v>
      </c>
      <c r="C568">
        <f>1 * 3.6 / 39</f>
        <v>9.2307692307692313E-2</v>
      </c>
      <c r="D568" t="s">
        <v>724</v>
      </c>
      <c r="E568" t="s">
        <v>723</v>
      </c>
      <c r="F568" t="s">
        <v>793</v>
      </c>
    </row>
    <row r="569" spans="1:6" x14ac:dyDescent="0.35">
      <c r="A569" t="s">
        <v>353</v>
      </c>
      <c r="B569" t="s">
        <v>717</v>
      </c>
      <c r="C569">
        <f>1 * 3.6 / 46.5</f>
        <v>7.7419354838709681E-2</v>
      </c>
      <c r="D569" t="s">
        <v>721</v>
      </c>
      <c r="E569" t="s">
        <v>723</v>
      </c>
      <c r="F569" t="s">
        <v>794</v>
      </c>
    </row>
    <row r="570" spans="1:6" x14ac:dyDescent="0.35">
      <c r="A570" t="s">
        <v>354</v>
      </c>
      <c r="B570" t="s">
        <v>718</v>
      </c>
      <c r="C570">
        <f>1000/4000</f>
        <v>0.25</v>
      </c>
      <c r="D570" t="s">
        <v>722</v>
      </c>
      <c r="E570" t="s">
        <v>730</v>
      </c>
      <c r="F570" t="s">
        <v>934</v>
      </c>
    </row>
    <row r="571" spans="1:6" x14ac:dyDescent="0.35">
      <c r="A571" t="s">
        <v>354</v>
      </c>
      <c r="B571" t="s">
        <v>719</v>
      </c>
      <c r="C571">
        <f>1/33.3</f>
        <v>3.0030030030030033E-2</v>
      </c>
      <c r="D571" t="s">
        <v>721</v>
      </c>
      <c r="E571" t="s">
        <v>723</v>
      </c>
      <c r="F571" t="s">
        <v>777</v>
      </c>
    </row>
    <row r="572" spans="1:6" x14ac:dyDescent="0.35">
      <c r="A572" t="s">
        <v>355</v>
      </c>
      <c r="B572" t="s">
        <v>718</v>
      </c>
      <c r="C572">
        <f>1000/4000</f>
        <v>0.25</v>
      </c>
      <c r="D572" t="s">
        <v>722</v>
      </c>
      <c r="E572" t="s">
        <v>730</v>
      </c>
      <c r="F572" t="s">
        <v>934</v>
      </c>
    </row>
    <row r="573" spans="1:6" x14ac:dyDescent="0.35">
      <c r="A573" t="s">
        <v>355</v>
      </c>
      <c r="B573" t="s">
        <v>719</v>
      </c>
      <c r="C573">
        <f>1/33.3</f>
        <v>3.0030030030030033E-2</v>
      </c>
      <c r="D573" t="s">
        <v>721</v>
      </c>
      <c r="E573" t="s">
        <v>723</v>
      </c>
      <c r="F573" t="s">
        <v>777</v>
      </c>
    </row>
    <row r="574" spans="1:6" x14ac:dyDescent="0.35">
      <c r="A574" t="s">
        <v>356</v>
      </c>
      <c r="B574" t="s">
        <v>718</v>
      </c>
      <c r="C574">
        <f>8760 * 0.86 / (0.05 * 1000 * 33.3) / 1000000</f>
        <v>4.5246846846846847E-6</v>
      </c>
      <c r="D574" t="s">
        <v>722</v>
      </c>
      <c r="E574" t="s">
        <v>730</v>
      </c>
      <c r="F574" t="s">
        <v>795</v>
      </c>
    </row>
    <row r="575" spans="1:6" x14ac:dyDescent="0.35">
      <c r="A575" t="s">
        <v>356</v>
      </c>
      <c r="B575" t="s">
        <v>719</v>
      </c>
      <c r="C575">
        <f>1 / 33.3</f>
        <v>3.0030030030030033E-2</v>
      </c>
      <c r="D575" t="s">
        <v>721</v>
      </c>
      <c r="E575" t="s">
        <v>723</v>
      </c>
      <c r="F575" t="s">
        <v>778</v>
      </c>
    </row>
    <row r="576" spans="1:6" x14ac:dyDescent="0.35">
      <c r="A576" t="s">
        <v>357</v>
      </c>
      <c r="B576" t="s">
        <v>718</v>
      </c>
      <c r="C576">
        <v>1</v>
      </c>
      <c r="D576" t="s">
        <v>722</v>
      </c>
      <c r="E576" t="s">
        <v>722</v>
      </c>
    </row>
    <row r="577" spans="1:6" x14ac:dyDescent="0.35">
      <c r="A577" t="s">
        <v>358</v>
      </c>
      <c r="B577" t="s">
        <v>718</v>
      </c>
      <c r="C577">
        <f>0.00000000254628/5.3483199147628E-10</f>
        <v>4.7608969556431795</v>
      </c>
      <c r="D577" t="s">
        <v>722</v>
      </c>
      <c r="E577" t="s">
        <v>722</v>
      </c>
      <c r="F577" t="s">
        <v>774</v>
      </c>
    </row>
    <row r="578" spans="1:6" x14ac:dyDescent="0.35">
      <c r="A578" t="s">
        <v>359</v>
      </c>
      <c r="B578" t="s">
        <v>718</v>
      </c>
      <c r="C578">
        <f>1/(16000*0.777*13.1)</f>
        <v>6.1402733158458354E-6</v>
      </c>
      <c r="D578" t="s">
        <v>722</v>
      </c>
      <c r="E578" t="s">
        <v>723</v>
      </c>
      <c r="F578" t="s">
        <v>796</v>
      </c>
    </row>
    <row r="579" spans="1:6" x14ac:dyDescent="0.35">
      <c r="A579" t="s">
        <v>360</v>
      </c>
      <c r="B579" t="s">
        <v>718</v>
      </c>
      <c r="C579">
        <v>9.9999999999999995E-7</v>
      </c>
      <c r="D579" t="s">
        <v>722</v>
      </c>
      <c r="E579" t="s">
        <v>730</v>
      </c>
      <c r="F579" t="s">
        <v>958</v>
      </c>
    </row>
    <row r="580" spans="1:6" x14ac:dyDescent="0.35">
      <c r="A580" t="s">
        <v>360</v>
      </c>
      <c r="B580" t="s">
        <v>719</v>
      </c>
      <c r="C580">
        <v>1</v>
      </c>
      <c r="D580" t="s">
        <v>723</v>
      </c>
      <c r="E580" t="s">
        <v>723</v>
      </c>
    </row>
    <row r="581" spans="1:6" x14ac:dyDescent="0.35">
      <c r="A581" t="s">
        <v>361</v>
      </c>
      <c r="B581" t="s">
        <v>718</v>
      </c>
      <c r="C581">
        <f>1000 / 10000000</f>
        <v>1E-4</v>
      </c>
      <c r="D581" t="s">
        <v>722</v>
      </c>
      <c r="E581" t="s">
        <v>730</v>
      </c>
      <c r="F581" t="s">
        <v>935</v>
      </c>
    </row>
    <row r="582" spans="1:6" x14ac:dyDescent="0.35">
      <c r="A582" t="s">
        <v>361</v>
      </c>
      <c r="B582" t="s">
        <v>719</v>
      </c>
      <c r="C582">
        <f>3.6 * 2.5</f>
        <v>9</v>
      </c>
      <c r="D582" t="s">
        <v>727</v>
      </c>
      <c r="E582" t="s">
        <v>723</v>
      </c>
      <c r="F582" t="s">
        <v>894</v>
      </c>
    </row>
    <row r="583" spans="1:6" x14ac:dyDescent="0.35">
      <c r="A583" t="s">
        <v>362</v>
      </c>
      <c r="B583" t="s">
        <v>718</v>
      </c>
      <c r="C583">
        <f>1000 / 10000000</f>
        <v>1E-4</v>
      </c>
      <c r="D583" t="s">
        <v>722</v>
      </c>
      <c r="E583" t="s">
        <v>730</v>
      </c>
      <c r="F583" t="s">
        <v>935</v>
      </c>
    </row>
    <row r="584" spans="1:6" x14ac:dyDescent="0.35">
      <c r="A584" t="s">
        <v>362</v>
      </c>
      <c r="B584" t="s">
        <v>719</v>
      </c>
      <c r="C584">
        <f>3.6 * 2.5</f>
        <v>9</v>
      </c>
      <c r="D584" t="s">
        <v>727</v>
      </c>
      <c r="E584" t="s">
        <v>723</v>
      </c>
      <c r="F584" t="s">
        <v>894</v>
      </c>
    </row>
    <row r="585" spans="1:6" x14ac:dyDescent="0.35">
      <c r="A585" t="s">
        <v>363</v>
      </c>
      <c r="B585" t="s">
        <v>718</v>
      </c>
      <c r="C585">
        <f>1</f>
        <v>1</v>
      </c>
      <c r="D585" t="s">
        <v>722</v>
      </c>
      <c r="E585" t="s">
        <v>730</v>
      </c>
      <c r="F585" t="s">
        <v>936</v>
      </c>
    </row>
    <row r="586" spans="1:6" x14ac:dyDescent="0.35">
      <c r="A586" t="s">
        <v>363</v>
      </c>
      <c r="B586" t="s">
        <v>719</v>
      </c>
      <c r="C586">
        <f>1</f>
        <v>1</v>
      </c>
      <c r="D586" t="s">
        <v>723</v>
      </c>
      <c r="E586" t="s">
        <v>723</v>
      </c>
    </row>
    <row r="587" spans="1:6" x14ac:dyDescent="0.35">
      <c r="A587" t="s">
        <v>364</v>
      </c>
      <c r="B587" t="s">
        <v>718</v>
      </c>
      <c r="C587">
        <f>8760*0.85/368 / 1000000</f>
        <v>2.0233695652173914E-5</v>
      </c>
      <c r="D587" t="s">
        <v>722</v>
      </c>
      <c r="E587" t="s">
        <v>731</v>
      </c>
      <c r="F587" t="s">
        <v>797</v>
      </c>
    </row>
    <row r="588" spans="1:6" x14ac:dyDescent="0.35">
      <c r="A588" t="s">
        <v>364</v>
      </c>
      <c r="B588" t="s">
        <v>719</v>
      </c>
      <c r="C588">
        <v>1</v>
      </c>
      <c r="D588" t="s">
        <v>721</v>
      </c>
      <c r="E588" t="s">
        <v>721</v>
      </c>
    </row>
    <row r="589" spans="1:6" x14ac:dyDescent="0.35">
      <c r="A589" t="s">
        <v>365</v>
      </c>
      <c r="B589" t="s">
        <v>718</v>
      </c>
      <c r="C589">
        <f>8760*0.85/368 / 1000000</f>
        <v>2.0233695652173914E-5</v>
      </c>
      <c r="D589" t="s">
        <v>722</v>
      </c>
      <c r="E589" t="s">
        <v>731</v>
      </c>
      <c r="F589" t="s">
        <v>797</v>
      </c>
    </row>
    <row r="590" spans="1:6" x14ac:dyDescent="0.35">
      <c r="A590" t="s">
        <v>365</v>
      </c>
      <c r="B590" t="s">
        <v>719</v>
      </c>
      <c r="C590">
        <v>1</v>
      </c>
      <c r="D590" t="s">
        <v>721</v>
      </c>
      <c r="E590" t="s">
        <v>721</v>
      </c>
    </row>
    <row r="591" spans="1:6" x14ac:dyDescent="0.35">
      <c r="A591" t="s">
        <v>366</v>
      </c>
      <c r="B591" t="s">
        <v>718</v>
      </c>
      <c r="C591">
        <f>8760*0.85/368 / 1000000</f>
        <v>2.0233695652173914E-5</v>
      </c>
      <c r="D591" t="s">
        <v>722</v>
      </c>
      <c r="E591" t="s">
        <v>731</v>
      </c>
      <c r="F591" t="s">
        <v>797</v>
      </c>
    </row>
    <row r="592" spans="1:6" x14ac:dyDescent="0.35">
      <c r="A592" t="s">
        <v>366</v>
      </c>
      <c r="B592" t="s">
        <v>719</v>
      </c>
      <c r="C592">
        <v>1</v>
      </c>
      <c r="D592" t="s">
        <v>721</v>
      </c>
      <c r="E592" t="s">
        <v>721</v>
      </c>
    </row>
    <row r="593" spans="1:6" x14ac:dyDescent="0.35">
      <c r="A593" t="s">
        <v>367</v>
      </c>
      <c r="B593" t="s">
        <v>717</v>
      </c>
      <c r="C593">
        <f>1</f>
        <v>1</v>
      </c>
      <c r="D593" t="s">
        <v>721</v>
      </c>
      <c r="E593" t="s">
        <v>721</v>
      </c>
    </row>
    <row r="594" spans="1:6" x14ac:dyDescent="0.35">
      <c r="A594" t="s">
        <v>368</v>
      </c>
      <c r="B594" t="s">
        <v>718</v>
      </c>
      <c r="C594">
        <f>1</f>
        <v>1</v>
      </c>
      <c r="D594" t="s">
        <v>722</v>
      </c>
      <c r="E594" t="s">
        <v>730</v>
      </c>
      <c r="F594" t="s">
        <v>936</v>
      </c>
    </row>
    <row r="595" spans="1:6" x14ac:dyDescent="0.35">
      <c r="A595" t="s">
        <v>368</v>
      </c>
      <c r="B595" t="s">
        <v>719</v>
      </c>
      <c r="C595">
        <v>1</v>
      </c>
      <c r="D595" t="s">
        <v>723</v>
      </c>
      <c r="E595" t="s">
        <v>723</v>
      </c>
    </row>
    <row r="596" spans="1:6" x14ac:dyDescent="0.35">
      <c r="A596" t="s">
        <v>369</v>
      </c>
      <c r="B596" t="s">
        <v>718</v>
      </c>
      <c r="C596">
        <f>1/(33.3/54) / 1000</f>
        <v>1.621621621621622E-3</v>
      </c>
      <c r="D596" t="s">
        <v>722</v>
      </c>
      <c r="E596" t="s">
        <v>730</v>
      </c>
      <c r="F596" t="s">
        <v>937</v>
      </c>
    </row>
    <row r="597" spans="1:6" x14ac:dyDescent="0.35">
      <c r="A597" t="s">
        <v>369</v>
      </c>
      <c r="B597" t="s">
        <v>719</v>
      </c>
      <c r="C597">
        <f>1 / 33.3</f>
        <v>3.0030030030030033E-2</v>
      </c>
      <c r="D597" t="s">
        <v>721</v>
      </c>
      <c r="E597" t="s">
        <v>723</v>
      </c>
      <c r="F597" t="s">
        <v>773</v>
      </c>
    </row>
    <row r="598" spans="1:6" x14ac:dyDescent="0.35">
      <c r="A598" t="s">
        <v>370</v>
      </c>
      <c r="B598" t="s">
        <v>718</v>
      </c>
      <c r="C598">
        <v>1</v>
      </c>
      <c r="D598" t="s">
        <v>722</v>
      </c>
      <c r="E598" t="s">
        <v>722</v>
      </c>
    </row>
    <row r="599" spans="1:6" x14ac:dyDescent="0.35">
      <c r="A599" t="s">
        <v>371</v>
      </c>
      <c r="B599" t="s">
        <v>718</v>
      </c>
      <c r="C599">
        <v>-1</v>
      </c>
      <c r="D599" t="s">
        <v>722</v>
      </c>
      <c r="E599" t="s">
        <v>722</v>
      </c>
    </row>
    <row r="600" spans="1:6" x14ac:dyDescent="0.35">
      <c r="A600" t="s">
        <v>372</v>
      </c>
      <c r="B600" t="s">
        <v>718</v>
      </c>
      <c r="C600">
        <v>1</v>
      </c>
      <c r="D600" t="s">
        <v>722</v>
      </c>
      <c r="E600" t="s">
        <v>722</v>
      </c>
    </row>
    <row r="601" spans="1:6" x14ac:dyDescent="0.35">
      <c r="A601" t="s">
        <v>373</v>
      </c>
      <c r="B601" t="s">
        <v>718</v>
      </c>
      <c r="C601">
        <v>-1</v>
      </c>
      <c r="D601" t="s">
        <v>722</v>
      </c>
      <c r="E601" t="s">
        <v>722</v>
      </c>
    </row>
    <row r="602" spans="1:6" x14ac:dyDescent="0.35">
      <c r="A602" t="s">
        <v>374</v>
      </c>
      <c r="B602" t="s">
        <v>717</v>
      </c>
      <c r="C602">
        <f>1</f>
        <v>1</v>
      </c>
      <c r="D602" t="s">
        <v>721</v>
      </c>
      <c r="E602" t="s">
        <v>721</v>
      </c>
    </row>
    <row r="603" spans="1:6" x14ac:dyDescent="0.35">
      <c r="A603" t="s">
        <v>375</v>
      </c>
      <c r="B603" t="s">
        <v>718</v>
      </c>
      <c r="C603">
        <f>(8760*0.86)/(0.05*1000) / 1000000</f>
        <v>1.50672E-4</v>
      </c>
      <c r="D603" t="s">
        <v>722</v>
      </c>
      <c r="E603" t="s">
        <v>731</v>
      </c>
      <c r="F603" t="s">
        <v>798</v>
      </c>
    </row>
    <row r="604" spans="1:6" x14ac:dyDescent="0.35">
      <c r="A604" t="s">
        <v>375</v>
      </c>
      <c r="B604" t="s">
        <v>719</v>
      </c>
      <c r="C604">
        <v>1</v>
      </c>
      <c r="D604" t="s">
        <v>721</v>
      </c>
      <c r="E604" t="s">
        <v>721</v>
      </c>
    </row>
    <row r="605" spans="1:6" x14ac:dyDescent="0.35">
      <c r="A605" t="s">
        <v>376</v>
      </c>
      <c r="B605" t="s">
        <v>717</v>
      </c>
      <c r="C605">
        <f>1 * 3.6 / 32.45</f>
        <v>0.11093990755007703</v>
      </c>
      <c r="D605" t="s">
        <v>721</v>
      </c>
      <c r="E605" t="s">
        <v>723</v>
      </c>
      <c r="F605" t="s">
        <v>799</v>
      </c>
    </row>
    <row r="606" spans="1:6" x14ac:dyDescent="0.35">
      <c r="A606" t="s">
        <v>377</v>
      </c>
      <c r="B606" t="s">
        <v>718</v>
      </c>
      <c r="C606">
        <f>1 * 8760 * 0.6 / (57 * 55000000/25)</f>
        <v>4.1913875598086126E-5</v>
      </c>
      <c r="D606" t="s">
        <v>722</v>
      </c>
      <c r="E606" t="s">
        <v>733</v>
      </c>
      <c r="F606" t="s">
        <v>800</v>
      </c>
    </row>
    <row r="607" spans="1:6" x14ac:dyDescent="0.35">
      <c r="A607" t="s">
        <v>377</v>
      </c>
      <c r="B607" t="s">
        <v>719</v>
      </c>
      <c r="C607">
        <f>1</f>
        <v>1</v>
      </c>
      <c r="D607" t="s">
        <v>729</v>
      </c>
      <c r="E607" t="s">
        <v>729</v>
      </c>
    </row>
    <row r="608" spans="1:6" x14ac:dyDescent="0.35">
      <c r="A608" t="s">
        <v>378</v>
      </c>
      <c r="B608" t="s">
        <v>718</v>
      </c>
      <c r="C608">
        <f>1 * 8760 * 0.444 / (265 * 49000000/25)</f>
        <v>7.4883326915671928E-6</v>
      </c>
      <c r="D608" t="s">
        <v>722</v>
      </c>
      <c r="E608" t="s">
        <v>732</v>
      </c>
      <c r="F608" t="s">
        <v>801</v>
      </c>
    </row>
    <row r="609" spans="1:6" x14ac:dyDescent="0.35">
      <c r="A609" t="s">
        <v>378</v>
      </c>
      <c r="B609" t="s">
        <v>719</v>
      </c>
      <c r="C609">
        <f>1</f>
        <v>1</v>
      </c>
      <c r="D609" t="s">
        <v>725</v>
      </c>
      <c r="E609" t="s">
        <v>725</v>
      </c>
    </row>
    <row r="610" spans="1:6" x14ac:dyDescent="0.35">
      <c r="A610" t="s">
        <v>379</v>
      </c>
      <c r="B610" t="s">
        <v>718</v>
      </c>
      <c r="C610">
        <f>1 * 8760 * 0.349 / (130 * 49000000/25)</f>
        <v>1.1998587127158555E-5</v>
      </c>
      <c r="D610" t="s">
        <v>722</v>
      </c>
      <c r="E610" t="s">
        <v>732</v>
      </c>
      <c r="F610" t="s">
        <v>802</v>
      </c>
    </row>
    <row r="611" spans="1:6" x14ac:dyDescent="0.35">
      <c r="A611" t="s">
        <v>379</v>
      </c>
      <c r="B611" t="s">
        <v>719</v>
      </c>
      <c r="C611">
        <f>1</f>
        <v>1</v>
      </c>
      <c r="D611" t="s">
        <v>725</v>
      </c>
      <c r="E611" t="s">
        <v>725</v>
      </c>
    </row>
    <row r="612" spans="1:6" x14ac:dyDescent="0.35">
      <c r="A612" t="s">
        <v>380</v>
      </c>
      <c r="B612" t="s">
        <v>718</v>
      </c>
      <c r="C612">
        <f>(8760*0.86)/(0.05*1000) / 1000000</f>
        <v>1.50672E-4</v>
      </c>
      <c r="D612" t="s">
        <v>722</v>
      </c>
      <c r="E612" t="s">
        <v>731</v>
      </c>
      <c r="F612" t="s">
        <v>798</v>
      </c>
    </row>
    <row r="613" spans="1:6" x14ac:dyDescent="0.35">
      <c r="A613" t="s">
        <v>380</v>
      </c>
      <c r="B613" t="s">
        <v>719</v>
      </c>
      <c r="C613">
        <v>1</v>
      </c>
      <c r="D613" t="s">
        <v>721</v>
      </c>
      <c r="E613" t="s">
        <v>721</v>
      </c>
    </row>
    <row r="614" spans="1:6" x14ac:dyDescent="0.35">
      <c r="A614" t="s">
        <v>381</v>
      </c>
      <c r="B614" t="s">
        <v>717</v>
      </c>
      <c r="C614">
        <f>1</f>
        <v>1</v>
      </c>
      <c r="D614" t="s">
        <v>721</v>
      </c>
      <c r="E614" t="s">
        <v>721</v>
      </c>
    </row>
    <row r="615" spans="1:6" x14ac:dyDescent="0.35">
      <c r="A615" t="s">
        <v>382</v>
      </c>
      <c r="B615" t="s">
        <v>717</v>
      </c>
      <c r="C615">
        <f>1 * 3.6 / 46.4</f>
        <v>7.7586206896551727E-2</v>
      </c>
      <c r="D615" t="s">
        <v>721</v>
      </c>
      <c r="E615" t="s">
        <v>723</v>
      </c>
      <c r="F615" t="s">
        <v>803</v>
      </c>
    </row>
    <row r="616" spans="1:6" x14ac:dyDescent="0.35">
      <c r="A616" t="s">
        <v>383</v>
      </c>
      <c r="B616" t="s">
        <v>717</v>
      </c>
      <c r="C616">
        <f>1 * 3.6 / 45.799</f>
        <v>7.8604336339221384E-2</v>
      </c>
      <c r="D616" t="s">
        <v>721</v>
      </c>
      <c r="E616" t="s">
        <v>723</v>
      </c>
      <c r="F616" t="s">
        <v>804</v>
      </c>
    </row>
    <row r="617" spans="1:6" x14ac:dyDescent="0.35">
      <c r="A617" t="s">
        <v>384</v>
      </c>
      <c r="B617" t="s">
        <v>717</v>
      </c>
      <c r="C617">
        <f>1</f>
        <v>1</v>
      </c>
      <c r="D617" t="s">
        <v>721</v>
      </c>
      <c r="E617" t="s">
        <v>721</v>
      </c>
    </row>
    <row r="618" spans="1:6" x14ac:dyDescent="0.35">
      <c r="A618" t="s">
        <v>840</v>
      </c>
      <c r="B618" t="s">
        <v>718</v>
      </c>
      <c r="C618">
        <f>1/3</f>
        <v>0.33333333333333331</v>
      </c>
      <c r="D618" t="s">
        <v>722</v>
      </c>
      <c r="E618" t="s">
        <v>730</v>
      </c>
      <c r="F618" t="s">
        <v>938</v>
      </c>
    </row>
    <row r="619" spans="1:6" x14ac:dyDescent="0.35">
      <c r="A619" t="s">
        <v>840</v>
      </c>
      <c r="B619" t="s">
        <v>719</v>
      </c>
      <c r="C619">
        <f>1</f>
        <v>1</v>
      </c>
      <c r="D619" t="s">
        <v>723</v>
      </c>
      <c r="E619" t="s">
        <v>723</v>
      </c>
    </row>
    <row r="620" spans="1:6" x14ac:dyDescent="0.35">
      <c r="A620" t="s">
        <v>841</v>
      </c>
      <c r="B620" t="s">
        <v>718</v>
      </c>
      <c r="C620">
        <f>1/570</f>
        <v>1.7543859649122807E-3</v>
      </c>
      <c r="D620" t="s">
        <v>722</v>
      </c>
      <c r="E620" t="s">
        <v>730</v>
      </c>
      <c r="F620" t="s">
        <v>939</v>
      </c>
    </row>
    <row r="621" spans="1:6" x14ac:dyDescent="0.35">
      <c r="A621" t="s">
        <v>841</v>
      </c>
      <c r="B621" t="s">
        <v>719</v>
      </c>
      <c r="C621">
        <v>1</v>
      </c>
      <c r="D621" t="s">
        <v>723</v>
      </c>
      <c r="E621" t="s">
        <v>723</v>
      </c>
    </row>
    <row r="622" spans="1:6" x14ac:dyDescent="0.35">
      <c r="A622" t="s">
        <v>385</v>
      </c>
      <c r="B622" t="s">
        <v>717</v>
      </c>
      <c r="C622">
        <f>1</f>
        <v>1</v>
      </c>
      <c r="D622" t="s">
        <v>721</v>
      </c>
      <c r="E622" t="s">
        <v>721</v>
      </c>
    </row>
    <row r="623" spans="1:6" x14ac:dyDescent="0.35">
      <c r="A623" t="s">
        <v>386</v>
      </c>
      <c r="B623" t="s">
        <v>718</v>
      </c>
      <c r="C623">
        <f>(8760*0.86)/(0.05*1000) / 1000000</f>
        <v>1.50672E-4</v>
      </c>
      <c r="D623" t="s">
        <v>722</v>
      </c>
      <c r="E623" t="s">
        <v>731</v>
      </c>
      <c r="F623" t="s">
        <v>798</v>
      </c>
    </row>
    <row r="624" spans="1:6" x14ac:dyDescent="0.35">
      <c r="A624" t="s">
        <v>386</v>
      </c>
      <c r="B624" t="s">
        <v>719</v>
      </c>
      <c r="C624">
        <v>1</v>
      </c>
      <c r="D624" t="s">
        <v>721</v>
      </c>
      <c r="E624" t="s">
        <v>721</v>
      </c>
    </row>
    <row r="625" spans="1:6" x14ac:dyDescent="0.35">
      <c r="A625" t="s">
        <v>387</v>
      </c>
      <c r="B625" t="s">
        <v>718</v>
      </c>
      <c r="C625">
        <f>8760 * 0.85 / (0.05 * 1000 * 11.28) / 1000000</f>
        <v>1.3202127659574469E-5</v>
      </c>
      <c r="D625" t="s">
        <v>722</v>
      </c>
      <c r="E625" t="s">
        <v>730</v>
      </c>
      <c r="F625" t="s">
        <v>805</v>
      </c>
    </row>
    <row r="626" spans="1:6" x14ac:dyDescent="0.35">
      <c r="A626" t="s">
        <v>387</v>
      </c>
      <c r="B626" t="s">
        <v>719</v>
      </c>
      <c r="C626">
        <f>1/11.28</f>
        <v>8.8652482269503549E-2</v>
      </c>
      <c r="D626" t="s">
        <v>721</v>
      </c>
      <c r="E626" t="s">
        <v>723</v>
      </c>
      <c r="F626" t="s">
        <v>826</v>
      </c>
    </row>
    <row r="627" spans="1:6" x14ac:dyDescent="0.35">
      <c r="A627" t="s">
        <v>388</v>
      </c>
      <c r="B627" t="s">
        <v>718</v>
      </c>
      <c r="C627">
        <f>1 * 8760 * 0.297 / (47 * 24000)</f>
        <v>2.3064893617021276E-3</v>
      </c>
      <c r="D627" t="s">
        <v>722</v>
      </c>
      <c r="E627" t="s">
        <v>732</v>
      </c>
      <c r="F627" t="s">
        <v>806</v>
      </c>
    </row>
    <row r="628" spans="1:6" x14ac:dyDescent="0.35">
      <c r="A628" t="s">
        <v>388</v>
      </c>
      <c r="B628" t="s">
        <v>719</v>
      </c>
      <c r="C628">
        <f>1</f>
        <v>1</v>
      </c>
      <c r="D628" t="s">
        <v>725</v>
      </c>
      <c r="E628" t="s">
        <v>725</v>
      </c>
    </row>
    <row r="629" spans="1:6" x14ac:dyDescent="0.35">
      <c r="A629" t="s">
        <v>389</v>
      </c>
      <c r="B629" t="s">
        <v>718</v>
      </c>
      <c r="C629">
        <f>1 * 8760 * 0.297 / (47 * 24000)</f>
        <v>2.3064893617021276E-3</v>
      </c>
      <c r="D629" t="s">
        <v>722</v>
      </c>
      <c r="E629" t="s">
        <v>732</v>
      </c>
      <c r="F629" t="s">
        <v>806</v>
      </c>
    </row>
    <row r="630" spans="1:6" x14ac:dyDescent="0.35">
      <c r="A630" t="s">
        <v>389</v>
      </c>
      <c r="B630" t="s">
        <v>719</v>
      </c>
      <c r="C630">
        <f>1</f>
        <v>1</v>
      </c>
      <c r="D630" t="s">
        <v>725</v>
      </c>
      <c r="E630" t="s">
        <v>725</v>
      </c>
    </row>
    <row r="631" spans="1:6" x14ac:dyDescent="0.35">
      <c r="A631" t="s">
        <v>390</v>
      </c>
      <c r="B631" t="s">
        <v>718</v>
      </c>
      <c r="C631">
        <f>1 * 8760 * 0.297 / (47 * 24000)</f>
        <v>2.3064893617021276E-3</v>
      </c>
      <c r="D631" t="s">
        <v>722</v>
      </c>
      <c r="E631" t="s">
        <v>732</v>
      </c>
      <c r="F631" t="s">
        <v>806</v>
      </c>
    </row>
    <row r="632" spans="1:6" x14ac:dyDescent="0.35">
      <c r="A632" t="s">
        <v>390</v>
      </c>
      <c r="B632" t="s">
        <v>719</v>
      </c>
      <c r="C632">
        <f>1</f>
        <v>1</v>
      </c>
      <c r="D632" t="s">
        <v>725</v>
      </c>
      <c r="E632" t="s">
        <v>725</v>
      </c>
    </row>
    <row r="633" spans="1:6" x14ac:dyDescent="0.35">
      <c r="A633" t="s">
        <v>391</v>
      </c>
      <c r="B633" t="s">
        <v>718</v>
      </c>
      <c r="C633">
        <f>1 * 8760 * 0.297 / (47 * 24000)</f>
        <v>2.3064893617021276E-3</v>
      </c>
      <c r="D633" t="s">
        <v>722</v>
      </c>
      <c r="E633" t="s">
        <v>732</v>
      </c>
      <c r="F633" t="s">
        <v>806</v>
      </c>
    </row>
    <row r="634" spans="1:6" x14ac:dyDescent="0.35">
      <c r="A634" t="s">
        <v>391</v>
      </c>
      <c r="B634" t="s">
        <v>719</v>
      </c>
      <c r="C634">
        <f>1</f>
        <v>1</v>
      </c>
      <c r="D634" t="s">
        <v>725</v>
      </c>
      <c r="E634" t="s">
        <v>725</v>
      </c>
    </row>
    <row r="635" spans="1:6" x14ac:dyDescent="0.35">
      <c r="A635" t="s">
        <v>392</v>
      </c>
      <c r="B635" t="s">
        <v>718</v>
      </c>
      <c r="C635">
        <f>1 * 8760 * 0.297 / (47 * 24000)</f>
        <v>2.3064893617021276E-3</v>
      </c>
      <c r="D635" t="s">
        <v>722</v>
      </c>
      <c r="E635" t="s">
        <v>732</v>
      </c>
      <c r="F635" t="s">
        <v>806</v>
      </c>
    </row>
    <row r="636" spans="1:6" x14ac:dyDescent="0.35">
      <c r="A636" t="s">
        <v>392</v>
      </c>
      <c r="B636" t="s">
        <v>719</v>
      </c>
      <c r="C636">
        <f>1</f>
        <v>1</v>
      </c>
      <c r="D636" t="s">
        <v>725</v>
      </c>
      <c r="E636" t="s">
        <v>725</v>
      </c>
    </row>
    <row r="637" spans="1:6" x14ac:dyDescent="0.35">
      <c r="A637" t="s">
        <v>393</v>
      </c>
      <c r="B637" t="s">
        <v>718</v>
      </c>
      <c r="C637">
        <f>1 * 8760 * 0.297 / (47 * 24000)</f>
        <v>2.3064893617021276E-3</v>
      </c>
      <c r="D637" t="s">
        <v>722</v>
      </c>
      <c r="E637" t="s">
        <v>732</v>
      </c>
      <c r="F637" t="s">
        <v>806</v>
      </c>
    </row>
    <row r="638" spans="1:6" x14ac:dyDescent="0.35">
      <c r="A638" t="s">
        <v>393</v>
      </c>
      <c r="B638" t="s">
        <v>719</v>
      </c>
      <c r="C638">
        <f>1</f>
        <v>1</v>
      </c>
      <c r="D638" t="s">
        <v>725</v>
      </c>
      <c r="E638" t="s">
        <v>725</v>
      </c>
    </row>
    <row r="639" spans="1:6" x14ac:dyDescent="0.35">
      <c r="A639" t="s">
        <v>394</v>
      </c>
      <c r="B639" t="s">
        <v>718</v>
      </c>
      <c r="C639">
        <f>1 * 8760 * 0.297 / (47 * 24000)</f>
        <v>2.3064893617021276E-3</v>
      </c>
      <c r="D639" t="s">
        <v>722</v>
      </c>
      <c r="E639" t="s">
        <v>732</v>
      </c>
      <c r="F639" t="s">
        <v>806</v>
      </c>
    </row>
    <row r="640" spans="1:6" x14ac:dyDescent="0.35">
      <c r="A640" t="s">
        <v>394</v>
      </c>
      <c r="B640" t="s">
        <v>719</v>
      </c>
      <c r="C640">
        <f>1</f>
        <v>1</v>
      </c>
      <c r="D640" t="s">
        <v>725</v>
      </c>
      <c r="E640" t="s">
        <v>725</v>
      </c>
    </row>
    <row r="641" spans="1:6" x14ac:dyDescent="0.35">
      <c r="A641" t="s">
        <v>395</v>
      </c>
      <c r="B641" t="s">
        <v>718</v>
      </c>
      <c r="C641">
        <f>1 * 8760 * 0.297 / (47 * 24000)</f>
        <v>2.3064893617021276E-3</v>
      </c>
      <c r="D641" t="s">
        <v>722</v>
      </c>
      <c r="E641" t="s">
        <v>732</v>
      </c>
      <c r="F641" t="s">
        <v>806</v>
      </c>
    </row>
    <row r="642" spans="1:6" x14ac:dyDescent="0.35">
      <c r="A642" t="s">
        <v>395</v>
      </c>
      <c r="B642" t="s">
        <v>719</v>
      </c>
      <c r="C642">
        <f>1</f>
        <v>1</v>
      </c>
      <c r="D642" t="s">
        <v>725</v>
      </c>
      <c r="E642" t="s">
        <v>725</v>
      </c>
    </row>
    <row r="643" spans="1:6" x14ac:dyDescent="0.35">
      <c r="A643" t="s">
        <v>396</v>
      </c>
      <c r="B643" t="s">
        <v>718</v>
      </c>
      <c r="C643">
        <f>1 * 8760 * 0.297 / (47 * 24000)</f>
        <v>2.3064893617021276E-3</v>
      </c>
      <c r="D643" t="s">
        <v>722</v>
      </c>
      <c r="E643" t="s">
        <v>732</v>
      </c>
      <c r="F643" t="s">
        <v>806</v>
      </c>
    </row>
    <row r="644" spans="1:6" x14ac:dyDescent="0.35">
      <c r="A644" t="s">
        <v>396</v>
      </c>
      <c r="B644" t="s">
        <v>719</v>
      </c>
      <c r="C644">
        <f>1</f>
        <v>1</v>
      </c>
      <c r="D644" t="s">
        <v>725</v>
      </c>
      <c r="E644" t="s">
        <v>725</v>
      </c>
    </row>
    <row r="645" spans="1:6" x14ac:dyDescent="0.35">
      <c r="A645" t="s">
        <v>397</v>
      </c>
      <c r="B645" t="s">
        <v>718</v>
      </c>
      <c r="C645">
        <f>1 * 8760 * 0.093 / (13.4 * 108000)</f>
        <v>5.629353233830845E-4</v>
      </c>
      <c r="D645" t="s">
        <v>722</v>
      </c>
      <c r="E645" t="s">
        <v>733</v>
      </c>
      <c r="F645" t="s">
        <v>1032</v>
      </c>
    </row>
    <row r="646" spans="1:6" x14ac:dyDescent="0.35">
      <c r="A646" t="s">
        <v>397</v>
      </c>
      <c r="B646" t="s">
        <v>719</v>
      </c>
      <c r="C646">
        <f>1/13.4</f>
        <v>7.4626865671641784E-2</v>
      </c>
      <c r="D646" t="s">
        <v>726</v>
      </c>
      <c r="E646" t="s">
        <v>729</v>
      </c>
      <c r="F646" t="s">
        <v>1033</v>
      </c>
    </row>
    <row r="647" spans="1:6" x14ac:dyDescent="0.35">
      <c r="A647" t="s">
        <v>398</v>
      </c>
      <c r="B647" t="s">
        <v>718</v>
      </c>
      <c r="C647">
        <f>1 * 8760 * 0.093 / (13.4 * 108000)</f>
        <v>5.629353233830845E-4</v>
      </c>
      <c r="D647" t="s">
        <v>722</v>
      </c>
      <c r="E647" t="s">
        <v>733</v>
      </c>
      <c r="F647" t="s">
        <v>1032</v>
      </c>
    </row>
    <row r="648" spans="1:6" x14ac:dyDescent="0.35">
      <c r="A648" t="s">
        <v>398</v>
      </c>
      <c r="B648" t="s">
        <v>719</v>
      </c>
      <c r="C648">
        <f>1/13.4</f>
        <v>7.4626865671641784E-2</v>
      </c>
      <c r="D648" t="s">
        <v>726</v>
      </c>
      <c r="E648" t="s">
        <v>729</v>
      </c>
      <c r="F648" t="s">
        <v>1033</v>
      </c>
    </row>
    <row r="649" spans="1:6" x14ac:dyDescent="0.35">
      <c r="A649" t="s">
        <v>399</v>
      </c>
      <c r="B649" t="s">
        <v>718</v>
      </c>
      <c r="C649">
        <f>1 * 8760 * 0.093 / (13.4 * 108000)</f>
        <v>5.629353233830845E-4</v>
      </c>
      <c r="D649" t="s">
        <v>722</v>
      </c>
      <c r="E649" t="s">
        <v>733</v>
      </c>
      <c r="F649" t="s">
        <v>1032</v>
      </c>
    </row>
    <row r="650" spans="1:6" x14ac:dyDescent="0.35">
      <c r="A650" t="s">
        <v>399</v>
      </c>
      <c r="B650" t="s">
        <v>719</v>
      </c>
      <c r="C650">
        <f>1/13.4</f>
        <v>7.4626865671641784E-2</v>
      </c>
      <c r="D650" t="s">
        <v>726</v>
      </c>
      <c r="E650" t="s">
        <v>729</v>
      </c>
      <c r="F650" t="s">
        <v>1033</v>
      </c>
    </row>
    <row r="651" spans="1:6" x14ac:dyDescent="0.35">
      <c r="A651" t="s">
        <v>400</v>
      </c>
      <c r="B651" t="s">
        <v>718</v>
      </c>
      <c r="C651">
        <f>1 * 8760 * 0.093 / (13.4 * 108000)</f>
        <v>5.629353233830845E-4</v>
      </c>
      <c r="D651" t="s">
        <v>722</v>
      </c>
      <c r="E651" t="s">
        <v>733</v>
      </c>
      <c r="F651" t="s">
        <v>1032</v>
      </c>
    </row>
    <row r="652" spans="1:6" x14ac:dyDescent="0.35">
      <c r="A652" t="s">
        <v>400</v>
      </c>
      <c r="B652" t="s">
        <v>719</v>
      </c>
      <c r="C652">
        <f>1/13.4</f>
        <v>7.4626865671641784E-2</v>
      </c>
      <c r="D652" t="s">
        <v>726</v>
      </c>
      <c r="E652" t="s">
        <v>729</v>
      </c>
      <c r="F652" t="s">
        <v>1033</v>
      </c>
    </row>
    <row r="653" spans="1:6" x14ac:dyDescent="0.35">
      <c r="A653" t="s">
        <v>401</v>
      </c>
      <c r="B653" t="s">
        <v>718</v>
      </c>
      <c r="C653">
        <f>1 * 8760 * 0.093 / (13.4 * 108000)</f>
        <v>5.629353233830845E-4</v>
      </c>
      <c r="D653" t="s">
        <v>722</v>
      </c>
      <c r="E653" t="s">
        <v>733</v>
      </c>
      <c r="F653" t="s">
        <v>1032</v>
      </c>
    </row>
    <row r="654" spans="1:6" x14ac:dyDescent="0.35">
      <c r="A654" t="s">
        <v>401</v>
      </c>
      <c r="B654" t="s">
        <v>719</v>
      </c>
      <c r="C654">
        <f>1/13.4</f>
        <v>7.4626865671641784E-2</v>
      </c>
      <c r="D654" t="s">
        <v>726</v>
      </c>
      <c r="E654" t="s">
        <v>729</v>
      </c>
      <c r="F654" t="s">
        <v>1033</v>
      </c>
    </row>
    <row r="655" spans="1:6" x14ac:dyDescent="0.35">
      <c r="A655" t="s">
        <v>402</v>
      </c>
      <c r="B655" t="s">
        <v>718</v>
      </c>
      <c r="C655">
        <f>1 * 8760 * 0.093 / (13.4 * 108000)</f>
        <v>5.629353233830845E-4</v>
      </c>
      <c r="D655" t="s">
        <v>722</v>
      </c>
      <c r="E655" t="s">
        <v>733</v>
      </c>
      <c r="F655" t="s">
        <v>1032</v>
      </c>
    </row>
    <row r="656" spans="1:6" x14ac:dyDescent="0.35">
      <c r="A656" t="s">
        <v>402</v>
      </c>
      <c r="B656" t="s">
        <v>719</v>
      </c>
      <c r="C656">
        <f>1/13.4</f>
        <v>7.4626865671641784E-2</v>
      </c>
      <c r="D656" t="s">
        <v>726</v>
      </c>
      <c r="E656" t="s">
        <v>729</v>
      </c>
      <c r="F656" t="s">
        <v>1033</v>
      </c>
    </row>
    <row r="657" spans="1:6" x14ac:dyDescent="0.35">
      <c r="A657" t="s">
        <v>403</v>
      </c>
      <c r="B657" t="s">
        <v>718</v>
      </c>
      <c r="C657">
        <f>1 * 8760 * 0.093 / (13.4 * 108000)</f>
        <v>5.629353233830845E-4</v>
      </c>
      <c r="D657" t="s">
        <v>722</v>
      </c>
      <c r="E657" t="s">
        <v>733</v>
      </c>
      <c r="F657" t="s">
        <v>1032</v>
      </c>
    </row>
    <row r="658" spans="1:6" x14ac:dyDescent="0.35">
      <c r="A658" t="s">
        <v>403</v>
      </c>
      <c r="B658" t="s">
        <v>719</v>
      </c>
      <c r="C658">
        <f>1/13.4</f>
        <v>7.4626865671641784E-2</v>
      </c>
      <c r="D658" t="s">
        <v>726</v>
      </c>
      <c r="E658" t="s">
        <v>729</v>
      </c>
      <c r="F658" t="s">
        <v>1033</v>
      </c>
    </row>
    <row r="659" spans="1:6" x14ac:dyDescent="0.35">
      <c r="A659" t="s">
        <v>404</v>
      </c>
      <c r="B659" t="s">
        <v>718</v>
      </c>
      <c r="C659">
        <f>1 * 8760 * 0.093 / (13.4 * 108000)</f>
        <v>5.629353233830845E-4</v>
      </c>
      <c r="D659" t="s">
        <v>722</v>
      </c>
      <c r="E659" t="s">
        <v>733</v>
      </c>
      <c r="F659" t="s">
        <v>1032</v>
      </c>
    </row>
    <row r="660" spans="1:6" x14ac:dyDescent="0.35">
      <c r="A660" t="s">
        <v>404</v>
      </c>
      <c r="B660" t="s">
        <v>719</v>
      </c>
      <c r="C660">
        <f>1/13.4</f>
        <v>7.4626865671641784E-2</v>
      </c>
      <c r="D660" t="s">
        <v>726</v>
      </c>
      <c r="E660" t="s">
        <v>729</v>
      </c>
      <c r="F660" t="s">
        <v>1033</v>
      </c>
    </row>
    <row r="661" spans="1:6" x14ac:dyDescent="0.35">
      <c r="A661" t="s">
        <v>405</v>
      </c>
      <c r="B661" t="s">
        <v>718</v>
      </c>
      <c r="C661">
        <f>1 * 8760 * 0.093 / (13.4 * 108000)</f>
        <v>5.629353233830845E-4</v>
      </c>
      <c r="D661" t="s">
        <v>722</v>
      </c>
      <c r="E661" t="s">
        <v>733</v>
      </c>
      <c r="F661" t="s">
        <v>1032</v>
      </c>
    </row>
    <row r="662" spans="1:6" x14ac:dyDescent="0.35">
      <c r="A662" t="s">
        <v>405</v>
      </c>
      <c r="B662" t="s">
        <v>719</v>
      </c>
      <c r="C662">
        <v>1</v>
      </c>
      <c r="D662" t="s">
        <v>729</v>
      </c>
      <c r="E662" t="s">
        <v>729</v>
      </c>
    </row>
    <row r="663" spans="1:6" x14ac:dyDescent="0.35">
      <c r="A663" t="s">
        <v>406</v>
      </c>
      <c r="B663" t="s">
        <v>718</v>
      </c>
      <c r="C663">
        <f>1 * 8760 * 0.093 / (13.4 * 108000)</f>
        <v>5.629353233830845E-4</v>
      </c>
      <c r="D663" t="s">
        <v>722</v>
      </c>
      <c r="E663" t="s">
        <v>733</v>
      </c>
      <c r="F663" t="s">
        <v>1032</v>
      </c>
    </row>
    <row r="664" spans="1:6" x14ac:dyDescent="0.35">
      <c r="A664" t="s">
        <v>406</v>
      </c>
      <c r="B664" t="s">
        <v>719</v>
      </c>
      <c r="C664">
        <v>1</v>
      </c>
      <c r="D664" t="s">
        <v>729</v>
      </c>
      <c r="E664" t="s">
        <v>729</v>
      </c>
    </row>
    <row r="665" spans="1:6" x14ac:dyDescent="0.35">
      <c r="A665" t="s">
        <v>407</v>
      </c>
      <c r="B665" t="s">
        <v>718</v>
      </c>
      <c r="C665">
        <f>1 * 8760 * 0.093 / (13.4 * 108000)</f>
        <v>5.629353233830845E-4</v>
      </c>
      <c r="D665" t="s">
        <v>722</v>
      </c>
      <c r="E665" t="s">
        <v>733</v>
      </c>
      <c r="F665" t="s">
        <v>1032</v>
      </c>
    </row>
    <row r="666" spans="1:6" x14ac:dyDescent="0.35">
      <c r="A666" t="s">
        <v>407</v>
      </c>
      <c r="B666" t="s">
        <v>719</v>
      </c>
      <c r="C666">
        <f>1/13.4</f>
        <v>7.4626865671641784E-2</v>
      </c>
      <c r="D666" t="s">
        <v>726</v>
      </c>
      <c r="E666" t="s">
        <v>729</v>
      </c>
      <c r="F666" t="s">
        <v>1033</v>
      </c>
    </row>
    <row r="667" spans="1:6" x14ac:dyDescent="0.35">
      <c r="A667" t="s">
        <v>408</v>
      </c>
      <c r="B667" t="s">
        <v>718</v>
      </c>
      <c r="C667">
        <f>1 * 8760 * 0.093 / (13.4 * 108000)</f>
        <v>5.629353233830845E-4</v>
      </c>
      <c r="D667" t="s">
        <v>722</v>
      </c>
      <c r="E667" t="s">
        <v>733</v>
      </c>
      <c r="F667" t="s">
        <v>1032</v>
      </c>
    </row>
    <row r="668" spans="1:6" x14ac:dyDescent="0.35">
      <c r="A668" t="s">
        <v>408</v>
      </c>
      <c r="B668" t="s">
        <v>719</v>
      </c>
      <c r="C668">
        <f>1/13.4</f>
        <v>7.4626865671641784E-2</v>
      </c>
      <c r="D668" t="s">
        <v>726</v>
      </c>
      <c r="E668" t="s">
        <v>729</v>
      </c>
      <c r="F668" t="s">
        <v>1033</v>
      </c>
    </row>
    <row r="669" spans="1:6" x14ac:dyDescent="0.35">
      <c r="A669" t="s">
        <v>409</v>
      </c>
      <c r="B669" t="s">
        <v>718</v>
      </c>
      <c r="C669">
        <f>1 * 8760 * 0.093 / (13.4 * 108000)</f>
        <v>5.629353233830845E-4</v>
      </c>
      <c r="D669" t="s">
        <v>722</v>
      </c>
      <c r="E669" t="s">
        <v>733</v>
      </c>
      <c r="F669" t="s">
        <v>1032</v>
      </c>
    </row>
    <row r="670" spans="1:6" x14ac:dyDescent="0.35">
      <c r="A670" t="s">
        <v>409</v>
      </c>
      <c r="B670" t="s">
        <v>719</v>
      </c>
      <c r="C670">
        <f>1/13.4</f>
        <v>7.4626865671641784E-2</v>
      </c>
      <c r="D670" t="s">
        <v>726</v>
      </c>
      <c r="E670" t="s">
        <v>729</v>
      </c>
      <c r="F670" t="s">
        <v>1033</v>
      </c>
    </row>
    <row r="671" spans="1:6" x14ac:dyDescent="0.35">
      <c r="A671" t="s">
        <v>410</v>
      </c>
      <c r="B671" t="s">
        <v>718</v>
      </c>
      <c r="C671">
        <f>1 * 8760 * 0.093 / (13.4 * 108000)</f>
        <v>5.629353233830845E-4</v>
      </c>
      <c r="D671" t="s">
        <v>722</v>
      </c>
      <c r="E671" t="s">
        <v>733</v>
      </c>
      <c r="F671" t="s">
        <v>1032</v>
      </c>
    </row>
    <row r="672" spans="1:6" x14ac:dyDescent="0.35">
      <c r="A672" t="s">
        <v>410</v>
      </c>
      <c r="B672" t="s">
        <v>719</v>
      </c>
      <c r="C672">
        <f>1/13.4</f>
        <v>7.4626865671641784E-2</v>
      </c>
      <c r="D672" t="s">
        <v>726</v>
      </c>
      <c r="E672" t="s">
        <v>729</v>
      </c>
      <c r="F672" t="s">
        <v>1033</v>
      </c>
    </row>
    <row r="673" spans="1:6" x14ac:dyDescent="0.35">
      <c r="A673" t="s">
        <v>411</v>
      </c>
      <c r="B673" t="s">
        <v>718</v>
      </c>
      <c r="C673">
        <f>1 * 8760 * 0.093 / (13.4 * 108000)</f>
        <v>5.629353233830845E-4</v>
      </c>
      <c r="D673" t="s">
        <v>722</v>
      </c>
      <c r="E673" t="s">
        <v>733</v>
      </c>
      <c r="F673" t="s">
        <v>1032</v>
      </c>
    </row>
    <row r="674" spans="1:6" x14ac:dyDescent="0.35">
      <c r="A674" t="s">
        <v>411</v>
      </c>
      <c r="B674" t="s">
        <v>719</v>
      </c>
      <c r="C674">
        <f>1/13.4</f>
        <v>7.4626865671641784E-2</v>
      </c>
      <c r="D674" t="s">
        <v>726</v>
      </c>
      <c r="E674" t="s">
        <v>729</v>
      </c>
      <c r="F674" t="s">
        <v>1033</v>
      </c>
    </row>
    <row r="675" spans="1:6" x14ac:dyDescent="0.35">
      <c r="A675" t="s">
        <v>412</v>
      </c>
      <c r="B675" t="s">
        <v>718</v>
      </c>
      <c r="C675">
        <f>1 * 8760 * 0.093 / (13.4 * 108000)</f>
        <v>5.629353233830845E-4</v>
      </c>
      <c r="D675" t="s">
        <v>722</v>
      </c>
      <c r="E675" t="s">
        <v>733</v>
      </c>
      <c r="F675" t="s">
        <v>1032</v>
      </c>
    </row>
    <row r="676" spans="1:6" x14ac:dyDescent="0.35">
      <c r="A676" t="s">
        <v>412</v>
      </c>
      <c r="B676" t="s">
        <v>719</v>
      </c>
      <c r="C676">
        <f>1/13.4</f>
        <v>7.4626865671641784E-2</v>
      </c>
      <c r="D676" t="s">
        <v>726</v>
      </c>
      <c r="E676" t="s">
        <v>729</v>
      </c>
      <c r="F676" t="s">
        <v>1033</v>
      </c>
    </row>
    <row r="677" spans="1:6" x14ac:dyDescent="0.35">
      <c r="A677" t="s">
        <v>413</v>
      </c>
      <c r="B677" t="s">
        <v>718</v>
      </c>
      <c r="C677">
        <f>1 * 8760 * 0.093 / (6.3 * 73000)</f>
        <v>1.7714285714285714E-3</v>
      </c>
      <c r="D677" t="s">
        <v>722</v>
      </c>
      <c r="E677" t="s">
        <v>733</v>
      </c>
      <c r="F677" t="s">
        <v>807</v>
      </c>
    </row>
    <row r="678" spans="1:6" x14ac:dyDescent="0.35">
      <c r="A678" t="s">
        <v>413</v>
      </c>
      <c r="B678" t="s">
        <v>719</v>
      </c>
      <c r="C678">
        <f>1/6.3</f>
        <v>0.15873015873015872</v>
      </c>
      <c r="D678" t="s">
        <v>726</v>
      </c>
      <c r="E678" t="s">
        <v>729</v>
      </c>
      <c r="F678" t="s">
        <v>892</v>
      </c>
    </row>
    <row r="679" spans="1:6" x14ac:dyDescent="0.35">
      <c r="A679" t="s">
        <v>414</v>
      </c>
      <c r="B679" t="s">
        <v>718</v>
      </c>
      <c r="C679">
        <f>1 * 8760 * 0.093 / (6.3 * 73000)</f>
        <v>1.7714285714285714E-3</v>
      </c>
      <c r="D679" t="s">
        <v>722</v>
      </c>
      <c r="E679" t="s">
        <v>733</v>
      </c>
      <c r="F679" t="s">
        <v>807</v>
      </c>
    </row>
    <row r="680" spans="1:6" x14ac:dyDescent="0.35">
      <c r="A680" t="s">
        <v>414</v>
      </c>
      <c r="B680" t="s">
        <v>719</v>
      </c>
      <c r="C680">
        <f>1/6.3</f>
        <v>0.15873015873015872</v>
      </c>
      <c r="D680" t="s">
        <v>726</v>
      </c>
      <c r="E680" t="s">
        <v>729</v>
      </c>
      <c r="F680" t="s">
        <v>892</v>
      </c>
    </row>
    <row r="681" spans="1:6" x14ac:dyDescent="0.35">
      <c r="A681" t="s">
        <v>415</v>
      </c>
      <c r="B681" t="s">
        <v>718</v>
      </c>
      <c r="C681">
        <f>1 * 8760 * 0.093 / (6.3 * 73000)</f>
        <v>1.7714285714285714E-3</v>
      </c>
      <c r="D681" t="s">
        <v>722</v>
      </c>
      <c r="E681" t="s">
        <v>733</v>
      </c>
      <c r="F681" t="s">
        <v>807</v>
      </c>
    </row>
    <row r="682" spans="1:6" x14ac:dyDescent="0.35">
      <c r="A682" t="s">
        <v>415</v>
      </c>
      <c r="B682" t="s">
        <v>719</v>
      </c>
      <c r="C682">
        <f>1/6.3</f>
        <v>0.15873015873015872</v>
      </c>
      <c r="D682" t="s">
        <v>726</v>
      </c>
      <c r="E682" t="s">
        <v>729</v>
      </c>
      <c r="F682" t="s">
        <v>892</v>
      </c>
    </row>
    <row r="683" spans="1:6" x14ac:dyDescent="0.35">
      <c r="A683" t="s">
        <v>416</v>
      </c>
      <c r="B683" t="s">
        <v>718</v>
      </c>
      <c r="C683">
        <f>1 * 8760 * 0.093 / (6.3 * 73000)</f>
        <v>1.7714285714285714E-3</v>
      </c>
      <c r="D683" t="s">
        <v>722</v>
      </c>
      <c r="E683" t="s">
        <v>733</v>
      </c>
      <c r="F683" t="s">
        <v>807</v>
      </c>
    </row>
    <row r="684" spans="1:6" x14ac:dyDescent="0.35">
      <c r="A684" t="s">
        <v>416</v>
      </c>
      <c r="B684" t="s">
        <v>719</v>
      </c>
      <c r="C684">
        <f>1/6.3</f>
        <v>0.15873015873015872</v>
      </c>
      <c r="D684" t="s">
        <v>726</v>
      </c>
      <c r="E684" t="s">
        <v>729</v>
      </c>
      <c r="F684" t="s">
        <v>892</v>
      </c>
    </row>
    <row r="685" spans="1:6" x14ac:dyDescent="0.35">
      <c r="A685" t="s">
        <v>417</v>
      </c>
      <c r="B685" t="s">
        <v>718</v>
      </c>
      <c r="C685">
        <f>1 * 8760 * 0.093 / (6.3 * 73000)</f>
        <v>1.7714285714285714E-3</v>
      </c>
      <c r="D685" t="s">
        <v>722</v>
      </c>
      <c r="E685" t="s">
        <v>733</v>
      </c>
      <c r="F685" t="s">
        <v>807</v>
      </c>
    </row>
    <row r="686" spans="1:6" x14ac:dyDescent="0.35">
      <c r="A686" t="s">
        <v>417</v>
      </c>
      <c r="B686" t="s">
        <v>719</v>
      </c>
      <c r="C686">
        <f>1/6.3</f>
        <v>0.15873015873015872</v>
      </c>
      <c r="D686" t="s">
        <v>726</v>
      </c>
      <c r="E686" t="s">
        <v>729</v>
      </c>
      <c r="F686" t="s">
        <v>892</v>
      </c>
    </row>
    <row r="687" spans="1:6" x14ac:dyDescent="0.35">
      <c r="A687" t="s">
        <v>418</v>
      </c>
      <c r="B687" t="s">
        <v>718</v>
      </c>
      <c r="C687">
        <f>1 * 8760 * 0.093 / (6.3 * 73000)</f>
        <v>1.7714285714285714E-3</v>
      </c>
      <c r="D687" t="s">
        <v>722</v>
      </c>
      <c r="E687" t="s">
        <v>733</v>
      </c>
      <c r="F687" t="s">
        <v>807</v>
      </c>
    </row>
    <row r="688" spans="1:6" x14ac:dyDescent="0.35">
      <c r="A688" t="s">
        <v>418</v>
      </c>
      <c r="B688" t="s">
        <v>719</v>
      </c>
      <c r="C688">
        <f>1/6.3</f>
        <v>0.15873015873015872</v>
      </c>
      <c r="D688" t="s">
        <v>726</v>
      </c>
      <c r="E688" t="s">
        <v>729</v>
      </c>
      <c r="F688" t="s">
        <v>892</v>
      </c>
    </row>
    <row r="689" spans="1:6" x14ac:dyDescent="0.35">
      <c r="A689" t="s">
        <v>419</v>
      </c>
      <c r="B689" t="s">
        <v>718</v>
      </c>
      <c r="C689">
        <f>1 * 8760 * 0.093 / (6.3 * 73000)</f>
        <v>1.7714285714285714E-3</v>
      </c>
      <c r="D689" t="s">
        <v>722</v>
      </c>
      <c r="E689" t="s">
        <v>733</v>
      </c>
      <c r="F689" t="s">
        <v>807</v>
      </c>
    </row>
    <row r="690" spans="1:6" x14ac:dyDescent="0.35">
      <c r="A690" t="s">
        <v>419</v>
      </c>
      <c r="B690" t="s">
        <v>719</v>
      </c>
      <c r="C690">
        <f>1/6.3</f>
        <v>0.15873015873015872</v>
      </c>
      <c r="D690" t="s">
        <v>726</v>
      </c>
      <c r="E690" t="s">
        <v>729</v>
      </c>
      <c r="F690" t="s">
        <v>892</v>
      </c>
    </row>
    <row r="691" spans="1:6" x14ac:dyDescent="0.35">
      <c r="A691" t="s">
        <v>420</v>
      </c>
      <c r="B691" t="s">
        <v>718</v>
      </c>
      <c r="C691">
        <f>1 * 8760 * 0.093 / (6.3 * 73000)</f>
        <v>1.7714285714285714E-3</v>
      </c>
      <c r="D691" t="s">
        <v>722</v>
      </c>
      <c r="E691" t="s">
        <v>733</v>
      </c>
      <c r="F691" t="s">
        <v>807</v>
      </c>
    </row>
    <row r="692" spans="1:6" x14ac:dyDescent="0.35">
      <c r="A692" t="s">
        <v>420</v>
      </c>
      <c r="B692" t="s">
        <v>719</v>
      </c>
      <c r="C692">
        <f>1/6.3</f>
        <v>0.15873015873015872</v>
      </c>
      <c r="D692" t="s">
        <v>726</v>
      </c>
      <c r="E692" t="s">
        <v>729</v>
      </c>
      <c r="F692" t="s">
        <v>892</v>
      </c>
    </row>
    <row r="693" spans="1:6" x14ac:dyDescent="0.35">
      <c r="A693" t="s">
        <v>421</v>
      </c>
      <c r="B693" t="s">
        <v>718</v>
      </c>
      <c r="C693">
        <f>(8760*0.86)/(0.05*1000) / 1000000</f>
        <v>1.50672E-4</v>
      </c>
      <c r="D693" t="s">
        <v>722</v>
      </c>
      <c r="E693" t="s">
        <v>731</v>
      </c>
      <c r="F693" t="s">
        <v>798</v>
      </c>
    </row>
    <row r="694" spans="1:6" x14ac:dyDescent="0.35">
      <c r="A694" t="s">
        <v>421</v>
      </c>
      <c r="B694" t="s">
        <v>719</v>
      </c>
      <c r="C694">
        <v>1</v>
      </c>
      <c r="D694" t="s">
        <v>721</v>
      </c>
      <c r="E694" t="s">
        <v>721</v>
      </c>
    </row>
    <row r="695" spans="1:6" x14ac:dyDescent="0.35">
      <c r="A695" t="s">
        <v>422</v>
      </c>
      <c r="B695" t="s">
        <v>718</v>
      </c>
      <c r="C695">
        <f>8760*0.85 / (0.05 * 1000 * 33.3) / 1000000</f>
        <v>4.4720720720720726E-6</v>
      </c>
      <c r="D695" t="s">
        <v>722</v>
      </c>
      <c r="E695" t="s">
        <v>730</v>
      </c>
      <c r="F695" t="s">
        <v>739</v>
      </c>
    </row>
    <row r="696" spans="1:6" x14ac:dyDescent="0.35">
      <c r="A696" t="s">
        <v>422</v>
      </c>
      <c r="B696" t="s">
        <v>719</v>
      </c>
      <c r="C696">
        <f>1/33.3</f>
        <v>3.0030030030030033E-2</v>
      </c>
      <c r="D696" t="s">
        <v>721</v>
      </c>
      <c r="E696" t="s">
        <v>723</v>
      </c>
      <c r="F696" t="s">
        <v>777</v>
      </c>
    </row>
    <row r="697" spans="1:6" x14ac:dyDescent="0.35">
      <c r="A697" t="s">
        <v>423</v>
      </c>
      <c r="B697" t="s">
        <v>718</v>
      </c>
      <c r="C697">
        <f>8760*0.85 / (0.05 * 1000 * 33.3) / 1000000</f>
        <v>4.4720720720720726E-6</v>
      </c>
      <c r="D697" t="s">
        <v>722</v>
      </c>
      <c r="E697" t="s">
        <v>730</v>
      </c>
      <c r="F697" t="s">
        <v>739</v>
      </c>
    </row>
    <row r="698" spans="1:6" x14ac:dyDescent="0.35">
      <c r="A698" t="s">
        <v>423</v>
      </c>
      <c r="B698" t="s">
        <v>719</v>
      </c>
      <c r="C698">
        <f>1/33.3</f>
        <v>3.0030030030030033E-2</v>
      </c>
      <c r="D698" t="s">
        <v>721</v>
      </c>
      <c r="E698" t="s">
        <v>723</v>
      </c>
      <c r="F698" t="s">
        <v>777</v>
      </c>
    </row>
    <row r="699" spans="1:6" x14ac:dyDescent="0.35">
      <c r="A699" t="s">
        <v>424</v>
      </c>
      <c r="B699" t="s">
        <v>718</v>
      </c>
      <c r="C699">
        <v>1</v>
      </c>
      <c r="D699" t="s">
        <v>722</v>
      </c>
      <c r="E699" t="s">
        <v>722</v>
      </c>
    </row>
    <row r="700" spans="1:6" x14ac:dyDescent="0.35">
      <c r="A700" t="s">
        <v>425</v>
      </c>
      <c r="B700" t="s">
        <v>718</v>
      </c>
      <c r="C700">
        <f>0.00000000254628/5.3483199147628E-10</f>
        <v>4.7608969556431795</v>
      </c>
      <c r="D700" t="s">
        <v>722</v>
      </c>
      <c r="E700" t="s">
        <v>722</v>
      </c>
      <c r="F700" t="s">
        <v>740</v>
      </c>
    </row>
    <row r="701" spans="1:6" x14ac:dyDescent="0.35">
      <c r="A701" t="s">
        <v>426</v>
      </c>
      <c r="B701" t="s">
        <v>718</v>
      </c>
      <c r="C701">
        <v>1</v>
      </c>
      <c r="D701" t="s">
        <v>722</v>
      </c>
      <c r="E701" t="s">
        <v>722</v>
      </c>
    </row>
    <row r="702" spans="1:6" x14ac:dyDescent="0.35">
      <c r="A702" t="s">
        <v>427</v>
      </c>
      <c r="B702" t="s">
        <v>718</v>
      </c>
      <c r="C702">
        <f>0.00000000254628/5.3483199147628E-10</f>
        <v>4.7608969556431795</v>
      </c>
      <c r="D702" t="s">
        <v>722</v>
      </c>
      <c r="E702" t="s">
        <v>722</v>
      </c>
      <c r="F702" t="s">
        <v>740</v>
      </c>
    </row>
    <row r="703" spans="1:6" x14ac:dyDescent="0.35">
      <c r="A703" t="s">
        <v>428</v>
      </c>
      <c r="B703" t="s">
        <v>717</v>
      </c>
      <c r="C703">
        <f xml:space="preserve"> 3.6 / 39</f>
        <v>9.2307692307692313E-2</v>
      </c>
      <c r="D703" t="s">
        <v>724</v>
      </c>
      <c r="E703" t="s">
        <v>723</v>
      </c>
      <c r="F703" t="s">
        <v>793</v>
      </c>
    </row>
    <row r="704" spans="1:6" x14ac:dyDescent="0.35">
      <c r="A704" t="s">
        <v>429</v>
      </c>
      <c r="B704" t="s">
        <v>719</v>
      </c>
      <c r="C704">
        <f xml:space="preserve"> 3.6 / 39</f>
        <v>9.2307692307692313E-2</v>
      </c>
      <c r="D704" t="s">
        <v>724</v>
      </c>
      <c r="E704" t="s">
        <v>723</v>
      </c>
      <c r="F704" t="s">
        <v>793</v>
      </c>
    </row>
    <row r="705" spans="1:6" x14ac:dyDescent="0.35">
      <c r="A705" t="s">
        <v>430</v>
      </c>
      <c r="B705" t="s">
        <v>718</v>
      </c>
      <c r="C705">
        <f>1/(33.3/42.3) / 1000</f>
        <v>1.2702702702702701E-3</v>
      </c>
      <c r="D705" t="s">
        <v>722</v>
      </c>
      <c r="E705" t="s">
        <v>730</v>
      </c>
      <c r="F705" t="s">
        <v>940</v>
      </c>
    </row>
    <row r="706" spans="1:6" x14ac:dyDescent="0.35">
      <c r="A706" t="s">
        <v>430</v>
      </c>
      <c r="B706" t="s">
        <v>719</v>
      </c>
      <c r="C706">
        <f>1 / 33.3</f>
        <v>3.0030030030030033E-2</v>
      </c>
      <c r="D706" t="s">
        <v>721</v>
      </c>
      <c r="E706" t="s">
        <v>723</v>
      </c>
      <c r="F706" t="s">
        <v>773</v>
      </c>
    </row>
    <row r="707" spans="1:6" x14ac:dyDescent="0.35">
      <c r="A707" t="s">
        <v>431</v>
      </c>
      <c r="B707" t="s">
        <v>718</v>
      </c>
      <c r="C707">
        <v>1</v>
      </c>
      <c r="D707" t="s">
        <v>722</v>
      </c>
      <c r="E707" t="s">
        <v>722</v>
      </c>
    </row>
    <row r="708" spans="1:6" x14ac:dyDescent="0.35">
      <c r="A708" t="s">
        <v>432</v>
      </c>
      <c r="B708" t="s">
        <v>718</v>
      </c>
      <c r="C708">
        <v>-1</v>
      </c>
      <c r="D708" t="s">
        <v>722</v>
      </c>
      <c r="E708" t="s">
        <v>722</v>
      </c>
    </row>
    <row r="709" spans="1:6" x14ac:dyDescent="0.35">
      <c r="A709" t="s">
        <v>433</v>
      </c>
      <c r="B709" t="s">
        <v>718</v>
      </c>
      <c r="C709">
        <v>1</v>
      </c>
      <c r="D709" t="s">
        <v>722</v>
      </c>
      <c r="E709" t="s">
        <v>722</v>
      </c>
    </row>
    <row r="710" spans="1:6" x14ac:dyDescent="0.35">
      <c r="A710" t="s">
        <v>434</v>
      </c>
      <c r="B710" t="s">
        <v>718</v>
      </c>
      <c r="C710">
        <v>-1</v>
      </c>
      <c r="D710" t="s">
        <v>722</v>
      </c>
      <c r="E710" t="s">
        <v>722</v>
      </c>
    </row>
    <row r="711" spans="1:6" x14ac:dyDescent="0.35">
      <c r="A711" t="s">
        <v>435</v>
      </c>
      <c r="B711" t="s">
        <v>718</v>
      </c>
      <c r="C711">
        <f>1/125</f>
        <v>8.0000000000000002E-3</v>
      </c>
      <c r="D711" t="s">
        <v>722</v>
      </c>
      <c r="E711" t="s">
        <v>730</v>
      </c>
    </row>
    <row r="712" spans="1:6" x14ac:dyDescent="0.35">
      <c r="A712" t="s">
        <v>435</v>
      </c>
      <c r="B712" t="s">
        <v>719</v>
      </c>
      <c r="C712">
        <v>1</v>
      </c>
      <c r="D712" t="s">
        <v>723</v>
      </c>
      <c r="E712" t="s">
        <v>723</v>
      </c>
    </row>
    <row r="713" spans="1:6" x14ac:dyDescent="0.35">
      <c r="A713" t="s">
        <v>436</v>
      </c>
      <c r="B713" t="s">
        <v>718</v>
      </c>
      <c r="C713">
        <f>(8760*0.85)/130 / 1000000</f>
        <v>5.7276923076923077E-5</v>
      </c>
      <c r="D713" t="s">
        <v>722</v>
      </c>
      <c r="E713" t="s">
        <v>731</v>
      </c>
      <c r="F713" t="s">
        <v>808</v>
      </c>
    </row>
    <row r="714" spans="1:6" x14ac:dyDescent="0.35">
      <c r="A714" t="s">
        <v>436</v>
      </c>
      <c r="B714" t="s">
        <v>719</v>
      </c>
      <c r="C714">
        <v>1</v>
      </c>
      <c r="D714" t="s">
        <v>721</v>
      </c>
      <c r="E714" t="s">
        <v>721</v>
      </c>
    </row>
    <row r="715" spans="1:6" x14ac:dyDescent="0.35">
      <c r="A715" t="s">
        <v>437</v>
      </c>
      <c r="B715" t="s">
        <v>718</v>
      </c>
      <c r="C715">
        <f>(8760*0.85)/130 / 1000000</f>
        <v>5.7276923076923077E-5</v>
      </c>
      <c r="D715" t="s">
        <v>722</v>
      </c>
      <c r="E715" t="s">
        <v>731</v>
      </c>
      <c r="F715" t="s">
        <v>808</v>
      </c>
    </row>
    <row r="716" spans="1:6" x14ac:dyDescent="0.35">
      <c r="A716" t="s">
        <v>437</v>
      </c>
      <c r="B716" t="s">
        <v>719</v>
      </c>
      <c r="C716">
        <v>1</v>
      </c>
      <c r="D716" t="s">
        <v>721</v>
      </c>
      <c r="E716" t="s">
        <v>721</v>
      </c>
    </row>
    <row r="717" spans="1:6" x14ac:dyDescent="0.35">
      <c r="A717" t="s">
        <v>438</v>
      </c>
      <c r="B717" t="s">
        <v>718</v>
      </c>
      <c r="C717">
        <f>(8760*0.85)/130 / 1000000</f>
        <v>5.7276923076923077E-5</v>
      </c>
      <c r="D717" t="s">
        <v>722</v>
      </c>
      <c r="E717" t="s">
        <v>731</v>
      </c>
      <c r="F717" t="s">
        <v>808</v>
      </c>
    </row>
    <row r="718" spans="1:6" x14ac:dyDescent="0.35">
      <c r="A718" t="s">
        <v>438</v>
      </c>
      <c r="B718" t="s">
        <v>719</v>
      </c>
      <c r="C718">
        <v>1</v>
      </c>
      <c r="D718" t="s">
        <v>721</v>
      </c>
      <c r="E718" t="s">
        <v>721</v>
      </c>
    </row>
    <row r="719" spans="1:6" x14ac:dyDescent="0.35">
      <c r="A719" t="s">
        <v>439</v>
      </c>
      <c r="B719" t="s">
        <v>717</v>
      </c>
      <c r="C719">
        <f>1</f>
        <v>1</v>
      </c>
      <c r="D719" t="s">
        <v>721</v>
      </c>
      <c r="E719" t="s">
        <v>721</v>
      </c>
    </row>
    <row r="720" spans="1:6" x14ac:dyDescent="0.35">
      <c r="A720" t="s">
        <v>440</v>
      </c>
      <c r="B720" t="s">
        <v>718</v>
      </c>
      <c r="C720">
        <f>(8760*0.86)/(0.05*1000) / 1000000</f>
        <v>1.50672E-4</v>
      </c>
      <c r="D720" t="s">
        <v>722</v>
      </c>
      <c r="E720" t="s">
        <v>731</v>
      </c>
      <c r="F720" t="s">
        <v>798</v>
      </c>
    </row>
    <row r="721" spans="1:6" x14ac:dyDescent="0.35">
      <c r="A721" t="s">
        <v>440</v>
      </c>
      <c r="B721" t="s">
        <v>719</v>
      </c>
      <c r="C721">
        <v>1</v>
      </c>
      <c r="D721" t="s">
        <v>721</v>
      </c>
      <c r="E721" t="s">
        <v>721</v>
      </c>
    </row>
    <row r="722" spans="1:6" x14ac:dyDescent="0.35">
      <c r="A722" t="s">
        <v>441</v>
      </c>
      <c r="B722" t="s">
        <v>718</v>
      </c>
      <c r="C722">
        <f>1 * 8760 * 0.051 / (1.23 * 12000)</f>
        <v>3.0268292682926828E-2</v>
      </c>
      <c r="D722" t="s">
        <v>722</v>
      </c>
      <c r="E722" t="s">
        <v>732</v>
      </c>
      <c r="F722" t="s">
        <v>746</v>
      </c>
    </row>
    <row r="723" spans="1:6" x14ac:dyDescent="0.35">
      <c r="A723" t="s">
        <v>441</v>
      </c>
      <c r="B723" t="s">
        <v>719</v>
      </c>
      <c r="C723">
        <f>1/1.23</f>
        <v>0.81300813008130079</v>
      </c>
      <c r="D723" t="s">
        <v>726</v>
      </c>
      <c r="E723" t="s">
        <v>725</v>
      </c>
      <c r="F723" t="s">
        <v>879</v>
      </c>
    </row>
    <row r="724" spans="1:6" x14ac:dyDescent="0.35">
      <c r="A724" t="s">
        <v>442</v>
      </c>
      <c r="B724" t="s">
        <v>718</v>
      </c>
      <c r="C724">
        <f>1 * 8760 * 0.051 / (1.23 * 12000)</f>
        <v>3.0268292682926828E-2</v>
      </c>
      <c r="D724" t="s">
        <v>722</v>
      </c>
      <c r="E724" t="s">
        <v>732</v>
      </c>
      <c r="F724" t="s">
        <v>746</v>
      </c>
    </row>
    <row r="725" spans="1:6" x14ac:dyDescent="0.35">
      <c r="A725" t="s">
        <v>442</v>
      </c>
      <c r="B725" t="s">
        <v>719</v>
      </c>
      <c r="C725">
        <f>1/1.23</f>
        <v>0.81300813008130079</v>
      </c>
      <c r="D725" t="s">
        <v>726</v>
      </c>
      <c r="E725" t="s">
        <v>725</v>
      </c>
      <c r="F725" t="s">
        <v>879</v>
      </c>
    </row>
    <row r="726" spans="1:6" x14ac:dyDescent="0.35">
      <c r="A726" t="s">
        <v>443</v>
      </c>
      <c r="B726" t="s">
        <v>718</v>
      </c>
      <c r="C726">
        <f>1 * 8760 * 0.051 / (1.23 * 12000)</f>
        <v>3.0268292682926828E-2</v>
      </c>
      <c r="D726" t="s">
        <v>722</v>
      </c>
      <c r="E726" t="s">
        <v>732</v>
      </c>
      <c r="F726" t="s">
        <v>746</v>
      </c>
    </row>
    <row r="727" spans="1:6" x14ac:dyDescent="0.35">
      <c r="A727" t="s">
        <v>443</v>
      </c>
      <c r="B727" t="s">
        <v>719</v>
      </c>
      <c r="C727">
        <f>1/1.23</f>
        <v>0.81300813008130079</v>
      </c>
      <c r="D727" t="s">
        <v>726</v>
      </c>
      <c r="E727" t="s">
        <v>725</v>
      </c>
      <c r="F727" t="s">
        <v>879</v>
      </c>
    </row>
    <row r="728" spans="1:6" x14ac:dyDescent="0.35">
      <c r="A728" t="s">
        <v>444</v>
      </c>
      <c r="B728" t="s">
        <v>718</v>
      </c>
      <c r="C728">
        <f>1 * 8760 * 0.051 / (1.23 * 12000)</f>
        <v>3.0268292682926828E-2</v>
      </c>
      <c r="D728" t="s">
        <v>722</v>
      </c>
      <c r="E728" t="s">
        <v>732</v>
      </c>
      <c r="F728" t="s">
        <v>746</v>
      </c>
    </row>
    <row r="729" spans="1:6" x14ac:dyDescent="0.35">
      <c r="A729" t="s">
        <v>444</v>
      </c>
      <c r="B729" t="s">
        <v>719</v>
      </c>
      <c r="C729">
        <f>1/1.23</f>
        <v>0.81300813008130079</v>
      </c>
      <c r="D729" t="s">
        <v>726</v>
      </c>
      <c r="E729" t="s">
        <v>725</v>
      </c>
      <c r="F729" t="s">
        <v>879</v>
      </c>
    </row>
    <row r="730" spans="1:6" x14ac:dyDescent="0.35">
      <c r="A730" t="s">
        <v>445</v>
      </c>
      <c r="B730" t="s">
        <v>718</v>
      </c>
      <c r="C730">
        <f>1 * 8760 * 0.051 / (1.23 * 12000)</f>
        <v>3.0268292682926828E-2</v>
      </c>
      <c r="D730" t="s">
        <v>722</v>
      </c>
      <c r="E730" t="s">
        <v>732</v>
      </c>
      <c r="F730" t="s">
        <v>746</v>
      </c>
    </row>
    <row r="731" spans="1:6" x14ac:dyDescent="0.35">
      <c r="A731" t="s">
        <v>445</v>
      </c>
      <c r="B731" t="s">
        <v>719</v>
      </c>
      <c r="C731">
        <f>1/1.23</f>
        <v>0.81300813008130079</v>
      </c>
      <c r="D731" t="s">
        <v>726</v>
      </c>
      <c r="E731" t="s">
        <v>725</v>
      </c>
      <c r="F731" t="s">
        <v>879</v>
      </c>
    </row>
    <row r="732" spans="1:6" x14ac:dyDescent="0.35">
      <c r="A732" t="s">
        <v>446</v>
      </c>
      <c r="B732" t="s">
        <v>718</v>
      </c>
      <c r="C732">
        <f>1 * 8760 * 0.051 / (1.23 * 12000)</f>
        <v>3.0268292682926828E-2</v>
      </c>
      <c r="D732" t="s">
        <v>722</v>
      </c>
      <c r="E732" t="s">
        <v>732</v>
      </c>
      <c r="F732" t="s">
        <v>746</v>
      </c>
    </row>
    <row r="733" spans="1:6" x14ac:dyDescent="0.35">
      <c r="A733" t="s">
        <v>446</v>
      </c>
      <c r="B733" t="s">
        <v>719</v>
      </c>
      <c r="C733">
        <f>1/1.23</f>
        <v>0.81300813008130079</v>
      </c>
      <c r="D733" t="s">
        <v>726</v>
      </c>
      <c r="E733" t="s">
        <v>725</v>
      </c>
      <c r="F733" t="s">
        <v>879</v>
      </c>
    </row>
    <row r="734" spans="1:6" x14ac:dyDescent="0.35">
      <c r="A734" t="s">
        <v>447</v>
      </c>
      <c r="B734" t="s">
        <v>718</v>
      </c>
      <c r="C734">
        <f>1 * 8760 * 0.051 / (1.23 * 12000)</f>
        <v>3.0268292682926828E-2</v>
      </c>
      <c r="D734" t="s">
        <v>722</v>
      </c>
      <c r="E734" t="s">
        <v>732</v>
      </c>
      <c r="F734" t="s">
        <v>746</v>
      </c>
    </row>
    <row r="735" spans="1:6" x14ac:dyDescent="0.35">
      <c r="A735" t="s">
        <v>447</v>
      </c>
      <c r="B735" t="s">
        <v>719</v>
      </c>
      <c r="C735">
        <f>1/1.23</f>
        <v>0.81300813008130079</v>
      </c>
      <c r="D735" t="s">
        <v>726</v>
      </c>
      <c r="E735" t="s">
        <v>725</v>
      </c>
      <c r="F735" t="s">
        <v>879</v>
      </c>
    </row>
    <row r="736" spans="1:6" x14ac:dyDescent="0.35">
      <c r="A736" t="s">
        <v>448</v>
      </c>
      <c r="B736" t="s">
        <v>718</v>
      </c>
      <c r="C736">
        <f>1 * 8760 * 0.051 / (1.23 * 12000)</f>
        <v>3.0268292682926828E-2</v>
      </c>
      <c r="D736" t="s">
        <v>722</v>
      </c>
      <c r="E736" t="s">
        <v>732</v>
      </c>
      <c r="F736" t="s">
        <v>746</v>
      </c>
    </row>
    <row r="737" spans="1:6" x14ac:dyDescent="0.35">
      <c r="A737" t="s">
        <v>448</v>
      </c>
      <c r="B737" t="s">
        <v>719</v>
      </c>
      <c r="C737">
        <f>1/1.23</f>
        <v>0.81300813008130079</v>
      </c>
      <c r="D737" t="s">
        <v>726</v>
      </c>
      <c r="E737" t="s">
        <v>725</v>
      </c>
      <c r="F737" t="s">
        <v>879</v>
      </c>
    </row>
    <row r="738" spans="1:6" x14ac:dyDescent="0.35">
      <c r="A738" t="s">
        <v>449</v>
      </c>
      <c r="B738" t="s">
        <v>718</v>
      </c>
      <c r="C738">
        <f>1 * 8760 * 0.051 / (1.23 * 12000)</f>
        <v>3.0268292682926828E-2</v>
      </c>
      <c r="D738" t="s">
        <v>722</v>
      </c>
      <c r="E738" t="s">
        <v>732</v>
      </c>
      <c r="F738" t="s">
        <v>746</v>
      </c>
    </row>
    <row r="739" spans="1:6" x14ac:dyDescent="0.35">
      <c r="A739" t="s">
        <v>449</v>
      </c>
      <c r="B739" t="s">
        <v>719</v>
      </c>
      <c r="C739">
        <f>1/1.23</f>
        <v>0.81300813008130079</v>
      </c>
      <c r="D739" t="s">
        <v>726</v>
      </c>
      <c r="E739" t="s">
        <v>725</v>
      </c>
      <c r="F739" t="s">
        <v>879</v>
      </c>
    </row>
    <row r="740" spans="1:6" x14ac:dyDescent="0.35">
      <c r="A740" t="s">
        <v>450</v>
      </c>
      <c r="B740" t="s">
        <v>718</v>
      </c>
      <c r="C740">
        <f>1 * 8760 * 0.051 / (1.23 * 12000)</f>
        <v>3.0268292682926828E-2</v>
      </c>
      <c r="D740" t="s">
        <v>722</v>
      </c>
      <c r="E740" t="s">
        <v>732</v>
      </c>
      <c r="F740" t="s">
        <v>746</v>
      </c>
    </row>
    <row r="741" spans="1:6" x14ac:dyDescent="0.35">
      <c r="A741" t="s">
        <v>450</v>
      </c>
      <c r="B741" t="s">
        <v>719</v>
      </c>
      <c r="C741">
        <f>1/1.23</f>
        <v>0.81300813008130079</v>
      </c>
      <c r="D741" t="s">
        <v>726</v>
      </c>
      <c r="E741" t="s">
        <v>725</v>
      </c>
      <c r="F741" t="s">
        <v>879</v>
      </c>
    </row>
    <row r="742" spans="1:6" x14ac:dyDescent="0.35">
      <c r="A742" t="s">
        <v>451</v>
      </c>
      <c r="B742" t="s">
        <v>718</v>
      </c>
      <c r="C742">
        <f>1 * 8760 * 0.051 / (1.23 * 12000)</f>
        <v>3.0268292682926828E-2</v>
      </c>
      <c r="D742" t="s">
        <v>722</v>
      </c>
      <c r="E742" t="s">
        <v>732</v>
      </c>
      <c r="F742" t="s">
        <v>746</v>
      </c>
    </row>
    <row r="743" spans="1:6" x14ac:dyDescent="0.35">
      <c r="A743" t="s">
        <v>451</v>
      </c>
      <c r="B743" t="s">
        <v>719</v>
      </c>
      <c r="C743">
        <f>1/1.23</f>
        <v>0.81300813008130079</v>
      </c>
      <c r="D743" t="s">
        <v>726</v>
      </c>
      <c r="E743" t="s">
        <v>725</v>
      </c>
      <c r="F743" t="s">
        <v>879</v>
      </c>
    </row>
    <row r="744" spans="1:6" x14ac:dyDescent="0.35">
      <c r="A744" t="s">
        <v>452</v>
      </c>
      <c r="B744" t="s">
        <v>718</v>
      </c>
      <c r="C744">
        <f>1 * 8760 * 0.051 / (1.23 * 12000)</f>
        <v>3.0268292682926828E-2</v>
      </c>
      <c r="D744" t="s">
        <v>722</v>
      </c>
      <c r="E744" t="s">
        <v>732</v>
      </c>
      <c r="F744" t="s">
        <v>746</v>
      </c>
    </row>
    <row r="745" spans="1:6" x14ac:dyDescent="0.35">
      <c r="A745" t="s">
        <v>452</v>
      </c>
      <c r="B745" t="s">
        <v>719</v>
      </c>
      <c r="C745">
        <f>1/1.23</f>
        <v>0.81300813008130079</v>
      </c>
      <c r="D745" t="s">
        <v>726</v>
      </c>
      <c r="E745" t="s">
        <v>725</v>
      </c>
      <c r="F745" t="s">
        <v>879</v>
      </c>
    </row>
    <row r="746" spans="1:6" x14ac:dyDescent="0.35">
      <c r="A746" t="s">
        <v>453</v>
      </c>
      <c r="B746" t="s">
        <v>718</v>
      </c>
      <c r="C746">
        <f>1 * 8760 * 0.051 / (1.23 * 12000)</f>
        <v>3.0268292682926828E-2</v>
      </c>
      <c r="D746" t="s">
        <v>722</v>
      </c>
      <c r="E746" t="s">
        <v>732</v>
      </c>
      <c r="F746" t="s">
        <v>746</v>
      </c>
    </row>
    <row r="747" spans="1:6" x14ac:dyDescent="0.35">
      <c r="A747" t="s">
        <v>453</v>
      </c>
      <c r="B747" t="s">
        <v>719</v>
      </c>
      <c r="C747">
        <f>1/1.23</f>
        <v>0.81300813008130079</v>
      </c>
      <c r="D747" t="s">
        <v>726</v>
      </c>
      <c r="E747" t="s">
        <v>725</v>
      </c>
      <c r="F747" t="s">
        <v>879</v>
      </c>
    </row>
    <row r="748" spans="1:6" x14ac:dyDescent="0.35">
      <c r="A748" t="s">
        <v>454</v>
      </c>
      <c r="B748" t="s">
        <v>718</v>
      </c>
      <c r="C748">
        <f>1 * 8760 * 0.051 / (1.23 * 12000)</f>
        <v>3.0268292682926828E-2</v>
      </c>
      <c r="D748" t="s">
        <v>722</v>
      </c>
      <c r="E748" t="s">
        <v>732</v>
      </c>
      <c r="F748" t="s">
        <v>746</v>
      </c>
    </row>
    <row r="749" spans="1:6" x14ac:dyDescent="0.35">
      <c r="A749" t="s">
        <v>454</v>
      </c>
      <c r="B749" t="s">
        <v>719</v>
      </c>
      <c r="C749">
        <f>1/1.23</f>
        <v>0.81300813008130079</v>
      </c>
      <c r="D749" t="s">
        <v>726</v>
      </c>
      <c r="E749" t="s">
        <v>725</v>
      </c>
      <c r="F749" t="s">
        <v>879</v>
      </c>
    </row>
    <row r="750" spans="1:6" x14ac:dyDescent="0.35">
      <c r="A750" t="s">
        <v>455</v>
      </c>
      <c r="B750" t="s">
        <v>718</v>
      </c>
      <c r="C750">
        <f>1 * 8760 * 0.051 / (1.23 * 12000)</f>
        <v>3.0268292682926828E-2</v>
      </c>
      <c r="D750" t="s">
        <v>722</v>
      </c>
      <c r="E750" t="s">
        <v>732</v>
      </c>
      <c r="F750" t="s">
        <v>746</v>
      </c>
    </row>
    <row r="751" spans="1:6" x14ac:dyDescent="0.35">
      <c r="A751" t="s">
        <v>455</v>
      </c>
      <c r="B751" t="s">
        <v>719</v>
      </c>
      <c r="C751">
        <f>1/1.23</f>
        <v>0.81300813008130079</v>
      </c>
      <c r="D751" t="s">
        <v>726</v>
      </c>
      <c r="E751" t="s">
        <v>725</v>
      </c>
      <c r="F751" t="s">
        <v>879</v>
      </c>
    </row>
    <row r="752" spans="1:6" x14ac:dyDescent="0.35">
      <c r="A752" t="s">
        <v>456</v>
      </c>
      <c r="B752" t="s">
        <v>718</v>
      </c>
      <c r="C752">
        <f>1 * 8760 * 0.051 / (1.23 * 12000)</f>
        <v>3.0268292682926828E-2</v>
      </c>
      <c r="D752" t="s">
        <v>722</v>
      </c>
      <c r="E752" t="s">
        <v>732</v>
      </c>
      <c r="F752" t="s">
        <v>746</v>
      </c>
    </row>
    <row r="753" spans="1:6" x14ac:dyDescent="0.35">
      <c r="A753" t="s">
        <v>456</v>
      </c>
      <c r="B753" t="s">
        <v>719</v>
      </c>
      <c r="C753">
        <f>1/1.23</f>
        <v>0.81300813008130079</v>
      </c>
      <c r="D753" t="s">
        <v>726</v>
      </c>
      <c r="E753" t="s">
        <v>725</v>
      </c>
      <c r="F753" t="s">
        <v>879</v>
      </c>
    </row>
    <row r="754" spans="1:6" x14ac:dyDescent="0.35">
      <c r="A754" t="s">
        <v>457</v>
      </c>
      <c r="B754" t="s">
        <v>718</v>
      </c>
      <c r="C754">
        <f>1 * 8760 * 0.051 / (1.23 * 12000)</f>
        <v>3.0268292682926828E-2</v>
      </c>
      <c r="D754" t="s">
        <v>722</v>
      </c>
      <c r="E754" t="s">
        <v>732</v>
      </c>
      <c r="F754" t="s">
        <v>746</v>
      </c>
    </row>
    <row r="755" spans="1:6" x14ac:dyDescent="0.35">
      <c r="A755" t="s">
        <v>457</v>
      </c>
      <c r="B755" t="s">
        <v>719</v>
      </c>
      <c r="C755">
        <f>1/1.23</f>
        <v>0.81300813008130079</v>
      </c>
      <c r="D755" t="s">
        <v>726</v>
      </c>
      <c r="E755" t="s">
        <v>725</v>
      </c>
      <c r="F755" t="s">
        <v>879</v>
      </c>
    </row>
    <row r="756" spans="1:6" x14ac:dyDescent="0.35">
      <c r="A756" t="s">
        <v>458</v>
      </c>
      <c r="B756" t="s">
        <v>718</v>
      </c>
      <c r="C756">
        <f>1 * 8760 * 0.051 / (1.23 * 12000)</f>
        <v>3.0268292682926828E-2</v>
      </c>
      <c r="D756" t="s">
        <v>722</v>
      </c>
      <c r="E756" t="s">
        <v>732</v>
      </c>
      <c r="F756" t="s">
        <v>746</v>
      </c>
    </row>
    <row r="757" spans="1:6" x14ac:dyDescent="0.35">
      <c r="A757" t="s">
        <v>458</v>
      </c>
      <c r="B757" t="s">
        <v>719</v>
      </c>
      <c r="C757">
        <f>1/1.23</f>
        <v>0.81300813008130079</v>
      </c>
      <c r="D757" t="s">
        <v>726</v>
      </c>
      <c r="E757" t="s">
        <v>725</v>
      </c>
      <c r="F757" t="s">
        <v>879</v>
      </c>
    </row>
    <row r="758" spans="1:6" x14ac:dyDescent="0.35">
      <c r="A758" t="s">
        <v>459</v>
      </c>
      <c r="B758" t="s">
        <v>718</v>
      </c>
      <c r="C758">
        <f>1 * 8760 * 0.051 / (1.23 * 12000)</f>
        <v>3.0268292682926828E-2</v>
      </c>
      <c r="D758" t="s">
        <v>722</v>
      </c>
      <c r="E758" t="s">
        <v>732</v>
      </c>
      <c r="F758" t="s">
        <v>746</v>
      </c>
    </row>
    <row r="759" spans="1:6" x14ac:dyDescent="0.35">
      <c r="A759" t="s">
        <v>459</v>
      </c>
      <c r="B759" t="s">
        <v>719</v>
      </c>
      <c r="C759">
        <f>1/1.23</f>
        <v>0.81300813008130079</v>
      </c>
      <c r="D759" t="s">
        <v>726</v>
      </c>
      <c r="E759" t="s">
        <v>725</v>
      </c>
      <c r="F759" t="s">
        <v>879</v>
      </c>
    </row>
    <row r="760" spans="1:6" x14ac:dyDescent="0.35">
      <c r="A760" t="s">
        <v>460</v>
      </c>
      <c r="B760" t="s">
        <v>718</v>
      </c>
      <c r="C760">
        <f>1 * 8760 * 0.051 / (1.23 * 12000)</f>
        <v>3.0268292682926828E-2</v>
      </c>
      <c r="D760" t="s">
        <v>722</v>
      </c>
      <c r="E760" t="s">
        <v>732</v>
      </c>
      <c r="F760" t="s">
        <v>746</v>
      </c>
    </row>
    <row r="761" spans="1:6" x14ac:dyDescent="0.35">
      <c r="A761" t="s">
        <v>460</v>
      </c>
      <c r="B761" t="s">
        <v>719</v>
      </c>
      <c r="C761">
        <f>1/1.23</f>
        <v>0.81300813008130079</v>
      </c>
      <c r="D761" t="s">
        <v>726</v>
      </c>
      <c r="E761" t="s">
        <v>725</v>
      </c>
      <c r="F761" t="s">
        <v>879</v>
      </c>
    </row>
    <row r="762" spans="1:6" x14ac:dyDescent="0.35">
      <c r="A762" t="s">
        <v>461</v>
      </c>
      <c r="B762" t="s">
        <v>718</v>
      </c>
      <c r="C762">
        <f>1 * 8760 * 0.051 / (1.23 * 12000)</f>
        <v>3.0268292682926828E-2</v>
      </c>
      <c r="D762" t="s">
        <v>722</v>
      </c>
      <c r="E762" t="s">
        <v>732</v>
      </c>
      <c r="F762" t="s">
        <v>746</v>
      </c>
    </row>
    <row r="763" spans="1:6" x14ac:dyDescent="0.35">
      <c r="A763" t="s">
        <v>461</v>
      </c>
      <c r="B763" t="s">
        <v>719</v>
      </c>
      <c r="C763">
        <f>1/1.23</f>
        <v>0.81300813008130079</v>
      </c>
      <c r="D763" t="s">
        <v>726</v>
      </c>
      <c r="E763" t="s">
        <v>725</v>
      </c>
      <c r="F763" t="s">
        <v>879</v>
      </c>
    </row>
    <row r="764" spans="1:6" x14ac:dyDescent="0.35">
      <c r="A764" t="s">
        <v>462</v>
      </c>
      <c r="B764" t="s">
        <v>718</v>
      </c>
      <c r="C764">
        <f>1 * 8760 * 0.051 / (1.23 * 12000)</f>
        <v>3.0268292682926828E-2</v>
      </c>
      <c r="D764" t="s">
        <v>722</v>
      </c>
      <c r="E764" t="s">
        <v>732</v>
      </c>
      <c r="F764" t="s">
        <v>746</v>
      </c>
    </row>
    <row r="765" spans="1:6" x14ac:dyDescent="0.35">
      <c r="A765" t="s">
        <v>462</v>
      </c>
      <c r="B765" t="s">
        <v>719</v>
      </c>
      <c r="C765">
        <f>1/1.23</f>
        <v>0.81300813008130079</v>
      </c>
      <c r="D765" t="s">
        <v>726</v>
      </c>
      <c r="E765" t="s">
        <v>725</v>
      </c>
      <c r="F765" t="s">
        <v>879</v>
      </c>
    </row>
    <row r="766" spans="1:6" x14ac:dyDescent="0.35">
      <c r="A766" t="s">
        <v>463</v>
      </c>
      <c r="B766" t="s">
        <v>718</v>
      </c>
      <c r="C766">
        <f>1 * 8760 * 0.051 / (1.23 * 12000)</f>
        <v>3.0268292682926828E-2</v>
      </c>
      <c r="D766" t="s">
        <v>722</v>
      </c>
      <c r="E766" t="s">
        <v>732</v>
      </c>
      <c r="F766" t="s">
        <v>746</v>
      </c>
    </row>
    <row r="767" spans="1:6" x14ac:dyDescent="0.35">
      <c r="A767" t="s">
        <v>463</v>
      </c>
      <c r="B767" t="s">
        <v>719</v>
      </c>
      <c r="C767">
        <f>1/1.23</f>
        <v>0.81300813008130079</v>
      </c>
      <c r="D767" t="s">
        <v>726</v>
      </c>
      <c r="E767" t="s">
        <v>725</v>
      </c>
      <c r="F767" t="s">
        <v>879</v>
      </c>
    </row>
    <row r="768" spans="1:6" x14ac:dyDescent="0.35">
      <c r="A768" t="s">
        <v>464</v>
      </c>
      <c r="B768" t="s">
        <v>718</v>
      </c>
      <c r="C768">
        <f>1 * 8760 * 0.051 / (1.23 * 12000)</f>
        <v>3.0268292682926828E-2</v>
      </c>
      <c r="D768" t="s">
        <v>722</v>
      </c>
      <c r="E768" t="s">
        <v>732</v>
      </c>
      <c r="F768" t="s">
        <v>746</v>
      </c>
    </row>
    <row r="769" spans="1:6" x14ac:dyDescent="0.35">
      <c r="A769" t="s">
        <v>464</v>
      </c>
      <c r="B769" t="s">
        <v>719</v>
      </c>
      <c r="C769">
        <f>1/1.23</f>
        <v>0.81300813008130079</v>
      </c>
      <c r="D769" t="s">
        <v>726</v>
      </c>
      <c r="E769" t="s">
        <v>725</v>
      </c>
      <c r="F769" t="s">
        <v>879</v>
      </c>
    </row>
    <row r="770" spans="1:6" x14ac:dyDescent="0.35">
      <c r="A770" t="s">
        <v>465</v>
      </c>
      <c r="B770" t="s">
        <v>718</v>
      </c>
      <c r="C770">
        <f>1 * 8760 * 0.051 / (1.23 * 12000)</f>
        <v>3.0268292682926828E-2</v>
      </c>
      <c r="D770" t="s">
        <v>722</v>
      </c>
      <c r="E770" t="s">
        <v>732</v>
      </c>
      <c r="F770" t="s">
        <v>746</v>
      </c>
    </row>
    <row r="771" spans="1:6" x14ac:dyDescent="0.35">
      <c r="A771" t="s">
        <v>465</v>
      </c>
      <c r="B771" t="s">
        <v>719</v>
      </c>
      <c r="C771">
        <f>1/1.23</f>
        <v>0.81300813008130079</v>
      </c>
      <c r="D771" t="s">
        <v>726</v>
      </c>
      <c r="E771" t="s">
        <v>725</v>
      </c>
      <c r="F771" t="s">
        <v>879</v>
      </c>
    </row>
    <row r="772" spans="1:6" x14ac:dyDescent="0.35">
      <c r="A772" t="s">
        <v>466</v>
      </c>
      <c r="B772" t="s">
        <v>718</v>
      </c>
      <c r="C772">
        <f>1 * 8760 * 0.051 / (1.23 * 12000)</f>
        <v>3.0268292682926828E-2</v>
      </c>
      <c r="D772" t="s">
        <v>722</v>
      </c>
      <c r="E772" t="s">
        <v>732</v>
      </c>
      <c r="F772" t="s">
        <v>746</v>
      </c>
    </row>
    <row r="773" spans="1:6" x14ac:dyDescent="0.35">
      <c r="A773" t="s">
        <v>466</v>
      </c>
      <c r="B773" t="s">
        <v>719</v>
      </c>
      <c r="C773">
        <f>1/1.23</f>
        <v>0.81300813008130079</v>
      </c>
      <c r="D773" t="s">
        <v>726</v>
      </c>
      <c r="E773" t="s">
        <v>725</v>
      </c>
      <c r="F773" t="s">
        <v>879</v>
      </c>
    </row>
    <row r="774" spans="1:6" x14ac:dyDescent="0.35">
      <c r="A774" t="s">
        <v>467</v>
      </c>
      <c r="B774" t="s">
        <v>718</v>
      </c>
      <c r="C774">
        <f>1 * 8760 * 0.051 / (1.23 * 12000)</f>
        <v>3.0268292682926828E-2</v>
      </c>
      <c r="D774" t="s">
        <v>722</v>
      </c>
      <c r="E774" t="s">
        <v>732</v>
      </c>
      <c r="F774" t="s">
        <v>746</v>
      </c>
    </row>
    <row r="775" spans="1:6" x14ac:dyDescent="0.35">
      <c r="A775" t="s">
        <v>467</v>
      </c>
      <c r="B775" t="s">
        <v>719</v>
      </c>
      <c r="C775">
        <f>1/1.23</f>
        <v>0.81300813008130079</v>
      </c>
      <c r="D775" t="s">
        <v>726</v>
      </c>
      <c r="E775" t="s">
        <v>725</v>
      </c>
      <c r="F775" t="s">
        <v>879</v>
      </c>
    </row>
    <row r="776" spans="1:6" x14ac:dyDescent="0.35">
      <c r="A776" t="s">
        <v>468</v>
      </c>
      <c r="B776" t="s">
        <v>718</v>
      </c>
      <c r="C776">
        <f>1 * 8760 * 0.051 / (1.23 * 12000)</f>
        <v>3.0268292682926828E-2</v>
      </c>
      <c r="D776" t="s">
        <v>722</v>
      </c>
      <c r="E776" t="s">
        <v>732</v>
      </c>
      <c r="F776" t="s">
        <v>746</v>
      </c>
    </row>
    <row r="777" spans="1:6" x14ac:dyDescent="0.35">
      <c r="A777" t="s">
        <v>468</v>
      </c>
      <c r="B777" t="s">
        <v>719</v>
      </c>
      <c r="C777">
        <f>1/1.23</f>
        <v>0.81300813008130079</v>
      </c>
      <c r="D777" t="s">
        <v>726</v>
      </c>
      <c r="E777" t="s">
        <v>725</v>
      </c>
      <c r="F777" t="s">
        <v>879</v>
      </c>
    </row>
    <row r="778" spans="1:6" x14ac:dyDescent="0.35">
      <c r="A778" t="s">
        <v>469</v>
      </c>
      <c r="B778" t="s">
        <v>718</v>
      </c>
      <c r="C778">
        <f>1 * 8760 * 0.051 / (1.23 * 12000)</f>
        <v>3.0268292682926828E-2</v>
      </c>
      <c r="D778" t="s">
        <v>722</v>
      </c>
      <c r="E778" t="s">
        <v>732</v>
      </c>
      <c r="F778" t="s">
        <v>746</v>
      </c>
    </row>
    <row r="779" spans="1:6" x14ac:dyDescent="0.35">
      <c r="A779" t="s">
        <v>469</v>
      </c>
      <c r="B779" t="s">
        <v>719</v>
      </c>
      <c r="C779">
        <f>1/1.23</f>
        <v>0.81300813008130079</v>
      </c>
      <c r="D779" t="s">
        <v>726</v>
      </c>
      <c r="E779" t="s">
        <v>725</v>
      </c>
      <c r="F779" t="s">
        <v>879</v>
      </c>
    </row>
    <row r="780" spans="1:6" x14ac:dyDescent="0.35">
      <c r="A780" t="s">
        <v>470</v>
      </c>
      <c r="B780" t="s">
        <v>718</v>
      </c>
      <c r="C780">
        <f>1 * 8760 * 0.051 / (1.23 * 12000)</f>
        <v>3.0268292682926828E-2</v>
      </c>
      <c r="D780" t="s">
        <v>722</v>
      </c>
      <c r="E780" t="s">
        <v>732</v>
      </c>
      <c r="F780" t="s">
        <v>746</v>
      </c>
    </row>
    <row r="781" spans="1:6" x14ac:dyDescent="0.35">
      <c r="A781" t="s">
        <v>470</v>
      </c>
      <c r="B781" t="s">
        <v>719</v>
      </c>
      <c r="C781">
        <f>1/1.23</f>
        <v>0.81300813008130079</v>
      </c>
      <c r="D781" t="s">
        <v>726</v>
      </c>
      <c r="E781" t="s">
        <v>725</v>
      </c>
      <c r="F781" t="s">
        <v>879</v>
      </c>
    </row>
    <row r="782" spans="1:6" x14ac:dyDescent="0.35">
      <c r="A782" t="s">
        <v>471</v>
      </c>
      <c r="B782" t="s">
        <v>718</v>
      </c>
      <c r="C782">
        <f>1 * 8760 * 0.051 / (1.23 * 12000)</f>
        <v>3.0268292682926828E-2</v>
      </c>
      <c r="D782" t="s">
        <v>722</v>
      </c>
      <c r="E782" t="s">
        <v>732</v>
      </c>
      <c r="F782" t="s">
        <v>746</v>
      </c>
    </row>
    <row r="783" spans="1:6" x14ac:dyDescent="0.35">
      <c r="A783" t="s">
        <v>471</v>
      </c>
      <c r="B783" t="s">
        <v>719</v>
      </c>
      <c r="C783">
        <f>1/1.23</f>
        <v>0.81300813008130079</v>
      </c>
      <c r="D783" t="s">
        <v>726</v>
      </c>
      <c r="E783" t="s">
        <v>725</v>
      </c>
      <c r="F783" t="s">
        <v>879</v>
      </c>
    </row>
    <row r="784" spans="1:6" x14ac:dyDescent="0.35">
      <c r="A784" t="s">
        <v>472</v>
      </c>
      <c r="B784" t="s">
        <v>718</v>
      </c>
      <c r="C784">
        <f>1 * 8760 * 0.051 / (1.23 * 12000)</f>
        <v>3.0268292682926828E-2</v>
      </c>
      <c r="D784" t="s">
        <v>722</v>
      </c>
      <c r="E784" t="s">
        <v>732</v>
      </c>
      <c r="F784" t="s">
        <v>746</v>
      </c>
    </row>
    <row r="785" spans="1:6" x14ac:dyDescent="0.35">
      <c r="A785" t="s">
        <v>472</v>
      </c>
      <c r="B785" t="s">
        <v>719</v>
      </c>
      <c r="C785">
        <f>1/1.23</f>
        <v>0.81300813008130079</v>
      </c>
      <c r="D785" t="s">
        <v>726</v>
      </c>
      <c r="E785" t="s">
        <v>725</v>
      </c>
      <c r="F785" t="s">
        <v>879</v>
      </c>
    </row>
    <row r="786" spans="1:6" x14ac:dyDescent="0.35">
      <c r="A786" t="s">
        <v>473</v>
      </c>
      <c r="B786" t="s">
        <v>718</v>
      </c>
      <c r="C786">
        <f>1 * 8760 * 0.051 / (1.23 * 12000)</f>
        <v>3.0268292682926828E-2</v>
      </c>
      <c r="D786" t="s">
        <v>722</v>
      </c>
      <c r="E786" t="s">
        <v>732</v>
      </c>
      <c r="F786" t="s">
        <v>746</v>
      </c>
    </row>
    <row r="787" spans="1:6" x14ac:dyDescent="0.35">
      <c r="A787" t="s">
        <v>473</v>
      </c>
      <c r="B787" t="s">
        <v>719</v>
      </c>
      <c r="C787">
        <f>1/1.23</f>
        <v>0.81300813008130079</v>
      </c>
      <c r="D787" t="s">
        <v>726</v>
      </c>
      <c r="E787" t="s">
        <v>725</v>
      </c>
      <c r="F787" t="s">
        <v>879</v>
      </c>
    </row>
    <row r="788" spans="1:6" x14ac:dyDescent="0.35">
      <c r="A788" t="s">
        <v>474</v>
      </c>
      <c r="B788" t="s">
        <v>718</v>
      </c>
      <c r="C788">
        <f>1 * 8760 * 0.051 / (1.23 * 12000)</f>
        <v>3.0268292682926828E-2</v>
      </c>
      <c r="D788" t="s">
        <v>722</v>
      </c>
      <c r="E788" t="s">
        <v>732</v>
      </c>
      <c r="F788" t="s">
        <v>746</v>
      </c>
    </row>
    <row r="789" spans="1:6" x14ac:dyDescent="0.35">
      <c r="A789" t="s">
        <v>474</v>
      </c>
      <c r="B789" t="s">
        <v>719</v>
      </c>
      <c r="C789">
        <f>1/1.23</f>
        <v>0.81300813008130079</v>
      </c>
      <c r="D789" t="s">
        <v>726</v>
      </c>
      <c r="E789" t="s">
        <v>725</v>
      </c>
      <c r="F789" t="s">
        <v>879</v>
      </c>
    </row>
    <row r="790" spans="1:6" x14ac:dyDescent="0.35">
      <c r="A790" t="s">
        <v>475</v>
      </c>
      <c r="B790" t="s">
        <v>718</v>
      </c>
      <c r="C790">
        <f>1 * 8760 * 0.051 / (1.23 * 12000)</f>
        <v>3.0268292682926828E-2</v>
      </c>
      <c r="D790" t="s">
        <v>722</v>
      </c>
      <c r="E790" t="s">
        <v>732</v>
      </c>
      <c r="F790" t="s">
        <v>746</v>
      </c>
    </row>
    <row r="791" spans="1:6" x14ac:dyDescent="0.35">
      <c r="A791" t="s">
        <v>475</v>
      </c>
      <c r="B791" t="s">
        <v>719</v>
      </c>
      <c r="C791">
        <f>1/1.23</f>
        <v>0.81300813008130079</v>
      </c>
      <c r="D791" t="s">
        <v>726</v>
      </c>
      <c r="E791" t="s">
        <v>725</v>
      </c>
      <c r="F791" t="s">
        <v>879</v>
      </c>
    </row>
    <row r="792" spans="1:6" x14ac:dyDescent="0.35">
      <c r="A792" t="s">
        <v>476</v>
      </c>
      <c r="B792" t="s">
        <v>718</v>
      </c>
      <c r="C792">
        <f>1 * 8760 * 0.051 / (1.23 * 12000)</f>
        <v>3.0268292682926828E-2</v>
      </c>
      <c r="D792" t="s">
        <v>722</v>
      </c>
      <c r="E792" t="s">
        <v>732</v>
      </c>
      <c r="F792" t="s">
        <v>746</v>
      </c>
    </row>
    <row r="793" spans="1:6" x14ac:dyDescent="0.35">
      <c r="A793" t="s">
        <v>476</v>
      </c>
      <c r="B793" t="s">
        <v>719</v>
      </c>
      <c r="C793">
        <f>1/1.23</f>
        <v>0.81300813008130079</v>
      </c>
      <c r="D793" t="s">
        <v>726</v>
      </c>
      <c r="E793" t="s">
        <v>725</v>
      </c>
      <c r="F793" t="s">
        <v>879</v>
      </c>
    </row>
    <row r="794" spans="1:6" x14ac:dyDescent="0.35">
      <c r="A794" t="s">
        <v>477</v>
      </c>
      <c r="B794" t="s">
        <v>718</v>
      </c>
      <c r="C794">
        <f>1 * 8760 * 0.051 / (1.23 * 12000)</f>
        <v>3.0268292682926828E-2</v>
      </c>
      <c r="D794" t="s">
        <v>722</v>
      </c>
      <c r="E794" t="s">
        <v>732</v>
      </c>
      <c r="F794" t="s">
        <v>746</v>
      </c>
    </row>
    <row r="795" spans="1:6" x14ac:dyDescent="0.35">
      <c r="A795" t="s">
        <v>477</v>
      </c>
      <c r="B795" t="s">
        <v>719</v>
      </c>
      <c r="C795">
        <f>1/1.23</f>
        <v>0.81300813008130079</v>
      </c>
      <c r="D795" t="s">
        <v>726</v>
      </c>
      <c r="E795" t="s">
        <v>725</v>
      </c>
      <c r="F795" t="s">
        <v>879</v>
      </c>
    </row>
    <row r="796" spans="1:6" x14ac:dyDescent="0.35">
      <c r="A796" t="s">
        <v>478</v>
      </c>
      <c r="B796" t="s">
        <v>718</v>
      </c>
      <c r="C796">
        <f>1 * 8760 * 0.051 / (1.23 * 12000)</f>
        <v>3.0268292682926828E-2</v>
      </c>
      <c r="D796" t="s">
        <v>722</v>
      </c>
      <c r="E796" t="s">
        <v>732</v>
      </c>
      <c r="F796" t="s">
        <v>746</v>
      </c>
    </row>
    <row r="797" spans="1:6" x14ac:dyDescent="0.35">
      <c r="A797" t="s">
        <v>478</v>
      </c>
      <c r="B797" t="s">
        <v>719</v>
      </c>
      <c r="C797">
        <f>1/1.23</f>
        <v>0.81300813008130079</v>
      </c>
      <c r="D797" t="s">
        <v>726</v>
      </c>
      <c r="E797" t="s">
        <v>725</v>
      </c>
      <c r="F797" t="s">
        <v>879</v>
      </c>
    </row>
    <row r="798" spans="1:6" x14ac:dyDescent="0.35">
      <c r="A798" t="s">
        <v>479</v>
      </c>
      <c r="B798" t="s">
        <v>718</v>
      </c>
      <c r="C798">
        <f>1 * 8760 * 0.051 / (1.23 * 12000)</f>
        <v>3.0268292682926828E-2</v>
      </c>
      <c r="D798" t="s">
        <v>722</v>
      </c>
      <c r="E798" t="s">
        <v>732</v>
      </c>
      <c r="F798" t="s">
        <v>746</v>
      </c>
    </row>
    <row r="799" spans="1:6" x14ac:dyDescent="0.35">
      <c r="A799" t="s">
        <v>479</v>
      </c>
      <c r="B799" t="s">
        <v>719</v>
      </c>
      <c r="C799">
        <f>1/1.23</f>
        <v>0.81300813008130079</v>
      </c>
      <c r="D799" t="s">
        <v>726</v>
      </c>
      <c r="E799" t="s">
        <v>725</v>
      </c>
      <c r="F799" t="s">
        <v>879</v>
      </c>
    </row>
    <row r="800" spans="1:6" x14ac:dyDescent="0.35">
      <c r="A800" t="s">
        <v>480</v>
      </c>
      <c r="B800" t="s">
        <v>718</v>
      </c>
      <c r="C800">
        <f>1 * 8760 * 0.051 / (1.23 * 12000)</f>
        <v>3.0268292682926828E-2</v>
      </c>
      <c r="D800" t="s">
        <v>722</v>
      </c>
      <c r="E800" t="s">
        <v>732</v>
      </c>
      <c r="F800" t="s">
        <v>746</v>
      </c>
    </row>
    <row r="801" spans="1:6" x14ac:dyDescent="0.35">
      <c r="A801" t="s">
        <v>480</v>
      </c>
      <c r="B801" t="s">
        <v>719</v>
      </c>
      <c r="C801">
        <f>1/1.23</f>
        <v>0.81300813008130079</v>
      </c>
      <c r="D801" t="s">
        <v>726</v>
      </c>
      <c r="E801" t="s">
        <v>725</v>
      </c>
      <c r="F801" t="s">
        <v>879</v>
      </c>
    </row>
    <row r="802" spans="1:6" x14ac:dyDescent="0.35">
      <c r="A802" t="s">
        <v>481</v>
      </c>
      <c r="B802" t="s">
        <v>718</v>
      </c>
      <c r="C802">
        <f>1 * 8760 * 0.051 / (1.23 * 12000)</f>
        <v>3.0268292682926828E-2</v>
      </c>
      <c r="D802" t="s">
        <v>722</v>
      </c>
      <c r="E802" t="s">
        <v>732</v>
      </c>
      <c r="F802" t="s">
        <v>746</v>
      </c>
    </row>
    <row r="803" spans="1:6" x14ac:dyDescent="0.35">
      <c r="A803" t="s">
        <v>481</v>
      </c>
      <c r="B803" t="s">
        <v>719</v>
      </c>
      <c r="C803">
        <f>1/1.23</f>
        <v>0.81300813008130079</v>
      </c>
      <c r="D803" t="s">
        <v>726</v>
      </c>
      <c r="E803" t="s">
        <v>725</v>
      </c>
      <c r="F803" t="s">
        <v>879</v>
      </c>
    </row>
    <row r="804" spans="1:6" x14ac:dyDescent="0.35">
      <c r="A804" t="s">
        <v>482</v>
      </c>
      <c r="B804" t="s">
        <v>718</v>
      </c>
      <c r="C804">
        <f>1 * 8760 * 0.051 / (1.23 * 12000)</f>
        <v>3.0268292682926828E-2</v>
      </c>
      <c r="D804" t="s">
        <v>722</v>
      </c>
      <c r="E804" t="s">
        <v>732</v>
      </c>
      <c r="F804" t="s">
        <v>746</v>
      </c>
    </row>
    <row r="805" spans="1:6" x14ac:dyDescent="0.35">
      <c r="A805" t="s">
        <v>482</v>
      </c>
      <c r="B805" t="s">
        <v>719</v>
      </c>
      <c r="C805">
        <f>1/1.23</f>
        <v>0.81300813008130079</v>
      </c>
      <c r="D805" t="s">
        <v>726</v>
      </c>
      <c r="E805" t="s">
        <v>725</v>
      </c>
      <c r="F805" t="s">
        <v>879</v>
      </c>
    </row>
    <row r="806" spans="1:6" x14ac:dyDescent="0.35">
      <c r="A806" t="s">
        <v>483</v>
      </c>
      <c r="B806" t="s">
        <v>718</v>
      </c>
      <c r="C806">
        <f>1 * 8760 * 0.051 / (1.23 * 12000)</f>
        <v>3.0268292682926828E-2</v>
      </c>
      <c r="D806" t="s">
        <v>722</v>
      </c>
      <c r="E806" t="s">
        <v>732</v>
      </c>
      <c r="F806" t="s">
        <v>746</v>
      </c>
    </row>
    <row r="807" spans="1:6" x14ac:dyDescent="0.35">
      <c r="A807" t="s">
        <v>483</v>
      </c>
      <c r="B807" t="s">
        <v>719</v>
      </c>
      <c r="C807">
        <f>1/1.23</f>
        <v>0.81300813008130079</v>
      </c>
      <c r="D807" t="s">
        <v>726</v>
      </c>
      <c r="E807" t="s">
        <v>725</v>
      </c>
      <c r="F807" t="s">
        <v>879</v>
      </c>
    </row>
    <row r="808" spans="1:6" x14ac:dyDescent="0.35">
      <c r="A808" t="s">
        <v>484</v>
      </c>
      <c r="B808" t="s">
        <v>718</v>
      </c>
      <c r="C808">
        <f>1 * 8760 * 0.051 / (1.23 * 12000)</f>
        <v>3.0268292682926828E-2</v>
      </c>
      <c r="D808" t="s">
        <v>722</v>
      </c>
      <c r="E808" t="s">
        <v>732</v>
      </c>
      <c r="F808" t="s">
        <v>746</v>
      </c>
    </row>
    <row r="809" spans="1:6" x14ac:dyDescent="0.35">
      <c r="A809" t="s">
        <v>484</v>
      </c>
      <c r="B809" t="s">
        <v>719</v>
      </c>
      <c r="C809">
        <f>1/1.23</f>
        <v>0.81300813008130079</v>
      </c>
      <c r="D809" t="s">
        <v>726</v>
      </c>
      <c r="E809" t="s">
        <v>725</v>
      </c>
      <c r="F809" t="s">
        <v>879</v>
      </c>
    </row>
    <row r="810" spans="1:6" x14ac:dyDescent="0.35">
      <c r="A810" t="s">
        <v>485</v>
      </c>
      <c r="B810" t="s">
        <v>718</v>
      </c>
      <c r="C810">
        <f>1 * 8760 * 0.051 / (1.23 * 12000)</f>
        <v>3.0268292682926828E-2</v>
      </c>
      <c r="D810" t="s">
        <v>722</v>
      </c>
      <c r="E810" t="s">
        <v>732</v>
      </c>
      <c r="F810" t="s">
        <v>746</v>
      </c>
    </row>
    <row r="811" spans="1:6" x14ac:dyDescent="0.35">
      <c r="A811" t="s">
        <v>485</v>
      </c>
      <c r="B811" t="s">
        <v>719</v>
      </c>
      <c r="C811">
        <f>1/1.23</f>
        <v>0.81300813008130079</v>
      </c>
      <c r="D811" t="s">
        <v>726</v>
      </c>
      <c r="E811" t="s">
        <v>725</v>
      </c>
      <c r="F811" t="s">
        <v>879</v>
      </c>
    </row>
    <row r="812" spans="1:6" x14ac:dyDescent="0.35">
      <c r="A812" t="s">
        <v>486</v>
      </c>
      <c r="B812" t="s">
        <v>718</v>
      </c>
      <c r="C812">
        <f>1 * 8760 * 0.051 / (1.23 * 12000)</f>
        <v>3.0268292682926828E-2</v>
      </c>
      <c r="D812" t="s">
        <v>722</v>
      </c>
      <c r="E812" t="s">
        <v>732</v>
      </c>
      <c r="F812" t="s">
        <v>746</v>
      </c>
    </row>
    <row r="813" spans="1:6" x14ac:dyDescent="0.35">
      <c r="A813" t="s">
        <v>486</v>
      </c>
      <c r="B813" t="s">
        <v>719</v>
      </c>
      <c r="C813">
        <f>1/1.23</f>
        <v>0.81300813008130079</v>
      </c>
      <c r="D813" t="s">
        <v>726</v>
      </c>
      <c r="E813" t="s">
        <v>725</v>
      </c>
      <c r="F813" t="s">
        <v>879</v>
      </c>
    </row>
    <row r="814" spans="1:6" x14ac:dyDescent="0.35">
      <c r="A814" t="s">
        <v>487</v>
      </c>
      <c r="B814" t="s">
        <v>718</v>
      </c>
      <c r="C814">
        <f>1 * 8760 * 0.051 / (1.23 * 12000)</f>
        <v>3.0268292682926828E-2</v>
      </c>
      <c r="D814" t="s">
        <v>722</v>
      </c>
      <c r="E814" t="s">
        <v>732</v>
      </c>
      <c r="F814" t="s">
        <v>746</v>
      </c>
    </row>
    <row r="815" spans="1:6" x14ac:dyDescent="0.35">
      <c r="A815" t="s">
        <v>487</v>
      </c>
      <c r="B815" t="s">
        <v>719</v>
      </c>
      <c r="C815">
        <f>1/1.23</f>
        <v>0.81300813008130079</v>
      </c>
      <c r="D815" t="s">
        <v>726</v>
      </c>
      <c r="E815" t="s">
        <v>725</v>
      </c>
      <c r="F815" t="s">
        <v>879</v>
      </c>
    </row>
    <row r="816" spans="1:6" x14ac:dyDescent="0.35">
      <c r="A816" t="s">
        <v>488</v>
      </c>
      <c r="B816" t="s">
        <v>718</v>
      </c>
      <c r="C816">
        <f>1 * 8760 * 0.051 / (1.23 * 12000)</f>
        <v>3.0268292682926828E-2</v>
      </c>
      <c r="D816" t="s">
        <v>722</v>
      </c>
      <c r="E816" t="s">
        <v>732</v>
      </c>
      <c r="F816" t="s">
        <v>746</v>
      </c>
    </row>
    <row r="817" spans="1:6" x14ac:dyDescent="0.35">
      <c r="A817" t="s">
        <v>488</v>
      </c>
      <c r="B817" t="s">
        <v>719</v>
      </c>
      <c r="C817">
        <f>1/1.23</f>
        <v>0.81300813008130079</v>
      </c>
      <c r="D817" t="s">
        <v>726</v>
      </c>
      <c r="E817" t="s">
        <v>725</v>
      </c>
      <c r="F817" t="s">
        <v>879</v>
      </c>
    </row>
    <row r="818" spans="1:6" x14ac:dyDescent="0.35">
      <c r="A818" t="s">
        <v>489</v>
      </c>
      <c r="B818" t="s">
        <v>718</v>
      </c>
      <c r="C818">
        <f>8760*0.35 / 2.97 / 1000000</f>
        <v>1.0323232323232324E-3</v>
      </c>
      <c r="D818" t="s">
        <v>722</v>
      </c>
      <c r="E818" t="s">
        <v>730</v>
      </c>
      <c r="F818" t="s">
        <v>809</v>
      </c>
    </row>
    <row r="819" spans="1:6" x14ac:dyDescent="0.35">
      <c r="A819" t="s">
        <v>489</v>
      </c>
      <c r="B819" t="s">
        <v>719</v>
      </c>
      <c r="C819">
        <f>1</f>
        <v>1</v>
      </c>
      <c r="D819" t="s">
        <v>723</v>
      </c>
      <c r="E819" t="s">
        <v>723</v>
      </c>
    </row>
    <row r="820" spans="1:6" x14ac:dyDescent="0.35">
      <c r="A820" t="s">
        <v>490</v>
      </c>
      <c r="B820" t="s">
        <v>717</v>
      </c>
      <c r="C820">
        <f>1 * 3.6 / 42.43</f>
        <v>8.4845628093330197E-2</v>
      </c>
      <c r="D820" t="s">
        <v>721</v>
      </c>
      <c r="E820" t="s">
        <v>723</v>
      </c>
      <c r="F820" t="s">
        <v>810</v>
      </c>
    </row>
    <row r="821" spans="1:6" x14ac:dyDescent="0.35">
      <c r="A821" t="s">
        <v>491</v>
      </c>
      <c r="B821" t="s">
        <v>719</v>
      </c>
      <c r="C821">
        <v>1</v>
      </c>
      <c r="D821" t="s">
        <v>723</v>
      </c>
      <c r="E821" t="s">
        <v>723</v>
      </c>
    </row>
    <row r="822" spans="1:6" x14ac:dyDescent="0.35">
      <c r="A822" t="s">
        <v>492</v>
      </c>
      <c r="B822" t="s">
        <v>719</v>
      </c>
      <c r="C822">
        <v>1</v>
      </c>
      <c r="D822" t="s">
        <v>723</v>
      </c>
      <c r="E822" t="s">
        <v>723</v>
      </c>
    </row>
    <row r="823" spans="1:6" x14ac:dyDescent="0.35">
      <c r="A823" t="s">
        <v>493</v>
      </c>
      <c r="B823" t="s">
        <v>719</v>
      </c>
      <c r="C823">
        <v>1</v>
      </c>
      <c r="D823" t="s">
        <v>723</v>
      </c>
      <c r="E823" t="s">
        <v>723</v>
      </c>
    </row>
    <row r="824" spans="1:6" x14ac:dyDescent="0.35">
      <c r="A824" t="s">
        <v>494</v>
      </c>
      <c r="B824" t="s">
        <v>719</v>
      </c>
      <c r="C824">
        <v>1</v>
      </c>
      <c r="D824" t="s">
        <v>723</v>
      </c>
      <c r="E824" t="s">
        <v>723</v>
      </c>
    </row>
    <row r="825" spans="1:6" x14ac:dyDescent="0.35">
      <c r="A825" t="s">
        <v>495</v>
      </c>
      <c r="B825" t="s">
        <v>719</v>
      </c>
      <c r="C825">
        <v>1</v>
      </c>
      <c r="D825" t="s">
        <v>723</v>
      </c>
      <c r="E825" t="s">
        <v>723</v>
      </c>
    </row>
    <row r="826" spans="1:6" x14ac:dyDescent="0.35">
      <c r="A826" t="s">
        <v>496</v>
      </c>
      <c r="B826" t="s">
        <v>719</v>
      </c>
      <c r="C826">
        <v>1</v>
      </c>
      <c r="D826" t="s">
        <v>723</v>
      </c>
      <c r="E826" t="s">
        <v>723</v>
      </c>
    </row>
    <row r="827" spans="1:6" x14ac:dyDescent="0.35">
      <c r="A827" t="s">
        <v>497</v>
      </c>
      <c r="B827" t="s">
        <v>718</v>
      </c>
      <c r="C827">
        <f>1 * 8760 * 0.275 / (343 * 400000)</f>
        <v>1.7558309037900874E-5</v>
      </c>
      <c r="D827" t="s">
        <v>722</v>
      </c>
      <c r="E827" t="s">
        <v>732</v>
      </c>
      <c r="F827" t="s">
        <v>811</v>
      </c>
    </row>
    <row r="828" spans="1:6" x14ac:dyDescent="0.35">
      <c r="A828" t="s">
        <v>497</v>
      </c>
      <c r="B828" t="s">
        <v>719</v>
      </c>
      <c r="C828">
        <f>1</f>
        <v>1</v>
      </c>
      <c r="D828" t="s">
        <v>725</v>
      </c>
      <c r="E828" t="s">
        <v>725</v>
      </c>
    </row>
    <row r="829" spans="1:6" x14ac:dyDescent="0.35">
      <c r="A829" t="s">
        <v>498</v>
      </c>
      <c r="B829" t="s">
        <v>718</v>
      </c>
      <c r="C829">
        <f>1 * 8760 * 0.275 / (343 * 400000)</f>
        <v>1.7558309037900874E-5</v>
      </c>
      <c r="D829" t="s">
        <v>722</v>
      </c>
      <c r="E829" t="s">
        <v>732</v>
      </c>
      <c r="F829" t="s">
        <v>811</v>
      </c>
    </row>
    <row r="830" spans="1:6" x14ac:dyDescent="0.35">
      <c r="A830" t="s">
        <v>498</v>
      </c>
      <c r="B830" t="s">
        <v>719</v>
      </c>
      <c r="C830">
        <f>1</f>
        <v>1</v>
      </c>
      <c r="D830" t="s">
        <v>725</v>
      </c>
      <c r="E830" t="s">
        <v>725</v>
      </c>
    </row>
    <row r="831" spans="1:6" x14ac:dyDescent="0.35">
      <c r="A831" t="s">
        <v>499</v>
      </c>
      <c r="B831" t="s">
        <v>718</v>
      </c>
      <c r="C831">
        <f>1 * 8760 * 0.275 / (343 * 400000)</f>
        <v>1.7558309037900874E-5</v>
      </c>
      <c r="D831" t="s">
        <v>722</v>
      </c>
      <c r="E831" t="s">
        <v>732</v>
      </c>
      <c r="F831" t="s">
        <v>811</v>
      </c>
    </row>
    <row r="832" spans="1:6" x14ac:dyDescent="0.35">
      <c r="A832" t="s">
        <v>499</v>
      </c>
      <c r="B832" t="s">
        <v>719</v>
      </c>
      <c r="C832">
        <f>1</f>
        <v>1</v>
      </c>
      <c r="D832" t="s">
        <v>725</v>
      </c>
      <c r="E832" t="s">
        <v>725</v>
      </c>
    </row>
    <row r="833" spans="1:6" x14ac:dyDescent="0.35">
      <c r="A833" t="s">
        <v>500</v>
      </c>
      <c r="B833" t="s">
        <v>718</v>
      </c>
      <c r="C833">
        <f>1 * 8760 * 0.275 / (343 * 400000)</f>
        <v>1.7558309037900874E-5</v>
      </c>
      <c r="D833" t="s">
        <v>722</v>
      </c>
      <c r="E833" t="s">
        <v>732</v>
      </c>
      <c r="F833" t="s">
        <v>811</v>
      </c>
    </row>
    <row r="834" spans="1:6" x14ac:dyDescent="0.35">
      <c r="A834" t="s">
        <v>500</v>
      </c>
      <c r="B834" t="s">
        <v>719</v>
      </c>
      <c r="C834">
        <f>1</f>
        <v>1</v>
      </c>
      <c r="D834" t="s">
        <v>725</v>
      </c>
      <c r="E834" t="s">
        <v>725</v>
      </c>
    </row>
    <row r="835" spans="1:6" x14ac:dyDescent="0.35">
      <c r="A835" t="s">
        <v>501</v>
      </c>
      <c r="B835" t="s">
        <v>718</v>
      </c>
      <c r="C835">
        <f>(40 * 8760 * 0.342) / (9600000 * 20 * 26)</f>
        <v>2.4005769230769232E-5</v>
      </c>
      <c r="D835" t="s">
        <v>722</v>
      </c>
      <c r="E835" t="s">
        <v>733</v>
      </c>
      <c r="F835" t="s">
        <v>959</v>
      </c>
    </row>
    <row r="836" spans="1:6" x14ac:dyDescent="0.35">
      <c r="A836" t="s">
        <v>501</v>
      </c>
      <c r="B836" t="s">
        <v>719</v>
      </c>
      <c r="C836">
        <v>1</v>
      </c>
      <c r="D836" t="s">
        <v>729</v>
      </c>
      <c r="E836" t="s">
        <v>729</v>
      </c>
    </row>
    <row r="837" spans="1:6" x14ac:dyDescent="0.35">
      <c r="A837" t="s">
        <v>502</v>
      </c>
      <c r="B837" t="s">
        <v>718</v>
      </c>
      <c r="C837">
        <v>2</v>
      </c>
      <c r="D837" t="s">
        <v>722</v>
      </c>
      <c r="E837" t="s">
        <v>722</v>
      </c>
      <c r="F837" t="s">
        <v>960</v>
      </c>
    </row>
    <row r="838" spans="1:6" x14ac:dyDescent="0.35">
      <c r="A838" t="s">
        <v>503</v>
      </c>
      <c r="B838" t="s">
        <v>718</v>
      </c>
      <c r="C838">
        <v>20</v>
      </c>
      <c r="D838" t="s">
        <v>722</v>
      </c>
      <c r="E838" t="s">
        <v>722</v>
      </c>
      <c r="F838" t="s">
        <v>961</v>
      </c>
    </row>
    <row r="839" spans="1:6" x14ac:dyDescent="0.35">
      <c r="A839" t="s">
        <v>504</v>
      </c>
      <c r="B839" t="s">
        <v>718</v>
      </c>
      <c r="C839">
        <f>(40 * 8760 * 0.342) / (9600000 * 20 * 26)</f>
        <v>2.4005769230769232E-5</v>
      </c>
      <c r="D839" t="s">
        <v>722</v>
      </c>
      <c r="E839" t="s">
        <v>733</v>
      </c>
      <c r="F839" t="s">
        <v>959</v>
      </c>
    </row>
    <row r="840" spans="1:6" x14ac:dyDescent="0.35">
      <c r="A840" t="s">
        <v>504</v>
      </c>
      <c r="B840" t="s">
        <v>719</v>
      </c>
      <c r="C840">
        <v>1</v>
      </c>
      <c r="D840" t="s">
        <v>729</v>
      </c>
      <c r="E840" t="s">
        <v>729</v>
      </c>
    </row>
    <row r="841" spans="1:6" x14ac:dyDescent="0.35">
      <c r="A841" t="s">
        <v>505</v>
      </c>
      <c r="B841" t="s">
        <v>718</v>
      </c>
      <c r="C841">
        <v>2</v>
      </c>
      <c r="D841" t="s">
        <v>722</v>
      </c>
      <c r="E841" t="s">
        <v>722</v>
      </c>
      <c r="F841" t="s">
        <v>960</v>
      </c>
    </row>
    <row r="842" spans="1:6" x14ac:dyDescent="0.35">
      <c r="A842" t="s">
        <v>506</v>
      </c>
      <c r="B842" t="s">
        <v>718</v>
      </c>
      <c r="C842">
        <v>20</v>
      </c>
      <c r="D842" t="s">
        <v>722</v>
      </c>
      <c r="E842" t="s">
        <v>722</v>
      </c>
      <c r="F842" t="s">
        <v>961</v>
      </c>
    </row>
    <row r="843" spans="1:6" x14ac:dyDescent="0.35">
      <c r="A843" t="s">
        <v>507</v>
      </c>
      <c r="B843" t="s">
        <v>718</v>
      </c>
      <c r="C843">
        <f>(40 * 8760 * 0.342) / (9600000 * 20 * 26)</f>
        <v>2.4005769230769232E-5</v>
      </c>
      <c r="D843" t="s">
        <v>722</v>
      </c>
      <c r="E843" t="s">
        <v>733</v>
      </c>
      <c r="F843" t="s">
        <v>959</v>
      </c>
    </row>
    <row r="844" spans="1:6" x14ac:dyDescent="0.35">
      <c r="A844" t="s">
        <v>507</v>
      </c>
      <c r="B844" t="s">
        <v>719</v>
      </c>
      <c r="C844">
        <v>1</v>
      </c>
      <c r="D844" t="s">
        <v>729</v>
      </c>
      <c r="E844" t="s">
        <v>729</v>
      </c>
    </row>
    <row r="845" spans="1:6" x14ac:dyDescent="0.35">
      <c r="A845" t="s">
        <v>508</v>
      </c>
      <c r="B845" t="s">
        <v>718</v>
      </c>
      <c r="C845">
        <v>2</v>
      </c>
      <c r="D845" t="s">
        <v>722</v>
      </c>
      <c r="E845" t="s">
        <v>722</v>
      </c>
      <c r="F845" t="s">
        <v>960</v>
      </c>
    </row>
    <row r="846" spans="1:6" x14ac:dyDescent="0.35">
      <c r="A846" t="s">
        <v>509</v>
      </c>
      <c r="B846" t="s">
        <v>718</v>
      </c>
      <c r="C846">
        <v>20</v>
      </c>
      <c r="D846" t="s">
        <v>722</v>
      </c>
      <c r="E846" t="s">
        <v>722</v>
      </c>
      <c r="F846" t="s">
        <v>961</v>
      </c>
    </row>
    <row r="847" spans="1:6" x14ac:dyDescent="0.35">
      <c r="A847" t="s">
        <v>510</v>
      </c>
      <c r="B847" t="s">
        <v>718</v>
      </c>
      <c r="C847">
        <f>(40 * 8760 * 0.342) / (9600000 * 20 * 26)</f>
        <v>2.4005769230769232E-5</v>
      </c>
      <c r="D847" t="s">
        <v>722</v>
      </c>
      <c r="E847" t="s">
        <v>733</v>
      </c>
      <c r="F847" t="s">
        <v>959</v>
      </c>
    </row>
    <row r="848" spans="1:6" x14ac:dyDescent="0.35">
      <c r="A848" t="s">
        <v>510</v>
      </c>
      <c r="B848" t="s">
        <v>719</v>
      </c>
      <c r="C848">
        <v>1</v>
      </c>
      <c r="D848" t="s">
        <v>729</v>
      </c>
      <c r="E848" t="s">
        <v>729</v>
      </c>
    </row>
    <row r="849" spans="1:6" x14ac:dyDescent="0.35">
      <c r="A849" t="s">
        <v>511</v>
      </c>
      <c r="B849" t="s">
        <v>718</v>
      </c>
      <c r="C849">
        <v>2</v>
      </c>
      <c r="D849" t="s">
        <v>722</v>
      </c>
      <c r="E849" t="s">
        <v>722</v>
      </c>
      <c r="F849" t="s">
        <v>960</v>
      </c>
    </row>
    <row r="850" spans="1:6" x14ac:dyDescent="0.35">
      <c r="A850" t="s">
        <v>512</v>
      </c>
      <c r="B850" t="s">
        <v>718</v>
      </c>
      <c r="C850">
        <v>20</v>
      </c>
      <c r="D850" t="s">
        <v>722</v>
      </c>
      <c r="E850" t="s">
        <v>722</v>
      </c>
      <c r="F850" t="s">
        <v>961</v>
      </c>
    </row>
    <row r="851" spans="1:6" x14ac:dyDescent="0.35">
      <c r="A851" t="s">
        <v>513</v>
      </c>
      <c r="B851" t="s">
        <v>718</v>
      </c>
      <c r="C851">
        <f>(40 * 8760 * 0.342) / (9600000 * 20 * 26)</f>
        <v>2.4005769230769232E-5</v>
      </c>
      <c r="D851" t="s">
        <v>722</v>
      </c>
      <c r="E851" t="s">
        <v>733</v>
      </c>
      <c r="F851" t="s">
        <v>959</v>
      </c>
    </row>
    <row r="852" spans="1:6" x14ac:dyDescent="0.35">
      <c r="A852" t="s">
        <v>513</v>
      </c>
      <c r="B852" t="s">
        <v>719</v>
      </c>
      <c r="C852">
        <v>1</v>
      </c>
      <c r="D852" t="s">
        <v>729</v>
      </c>
      <c r="E852" t="s">
        <v>729</v>
      </c>
    </row>
    <row r="853" spans="1:6" x14ac:dyDescent="0.35">
      <c r="A853" t="s">
        <v>514</v>
      </c>
      <c r="B853" t="s">
        <v>718</v>
      </c>
      <c r="C853">
        <v>2</v>
      </c>
      <c r="D853" t="s">
        <v>722</v>
      </c>
      <c r="E853" t="s">
        <v>722</v>
      </c>
      <c r="F853" t="s">
        <v>960</v>
      </c>
    </row>
    <row r="854" spans="1:6" x14ac:dyDescent="0.35">
      <c r="A854" t="s">
        <v>515</v>
      </c>
      <c r="B854" t="s">
        <v>718</v>
      </c>
      <c r="C854">
        <v>20</v>
      </c>
      <c r="D854" t="s">
        <v>722</v>
      </c>
      <c r="E854" t="s">
        <v>722</v>
      </c>
      <c r="F854" t="s">
        <v>961</v>
      </c>
    </row>
    <row r="855" spans="1:6" x14ac:dyDescent="0.35">
      <c r="A855" t="s">
        <v>516</v>
      </c>
      <c r="B855" t="s">
        <v>718</v>
      </c>
      <c r="C855">
        <f>(40 * 8760 * 0.342) / (9600000 * 20 * 26)</f>
        <v>2.4005769230769232E-5</v>
      </c>
      <c r="D855" t="s">
        <v>722</v>
      </c>
      <c r="E855" t="s">
        <v>733</v>
      </c>
      <c r="F855" t="s">
        <v>962</v>
      </c>
    </row>
    <row r="856" spans="1:6" x14ac:dyDescent="0.35">
      <c r="A856" t="s">
        <v>516</v>
      </c>
      <c r="B856" t="s">
        <v>719</v>
      </c>
      <c r="C856">
        <f>1</f>
        <v>1</v>
      </c>
      <c r="D856" t="s">
        <v>729</v>
      </c>
      <c r="E856" t="s">
        <v>729</v>
      </c>
    </row>
    <row r="857" spans="1:6" x14ac:dyDescent="0.35">
      <c r="A857" t="s">
        <v>517</v>
      </c>
      <c r="B857" t="s">
        <v>718</v>
      </c>
      <c r="C857">
        <v>2</v>
      </c>
      <c r="D857" t="s">
        <v>722</v>
      </c>
      <c r="E857" t="s">
        <v>722</v>
      </c>
      <c r="F857" t="s">
        <v>963</v>
      </c>
    </row>
    <row r="858" spans="1:6" x14ac:dyDescent="0.35">
      <c r="A858" t="s">
        <v>518</v>
      </c>
      <c r="B858" t="s">
        <v>718</v>
      </c>
      <c r="C858">
        <v>20</v>
      </c>
      <c r="D858" t="s">
        <v>722</v>
      </c>
      <c r="E858" t="s">
        <v>722</v>
      </c>
      <c r="F858" t="s">
        <v>964</v>
      </c>
    </row>
    <row r="859" spans="1:6" x14ac:dyDescent="0.35">
      <c r="A859" t="s">
        <v>519</v>
      </c>
      <c r="B859" t="s">
        <v>718</v>
      </c>
      <c r="C859">
        <f>(40 * 8760 * 0.342) / (9600000 * 20 * 26)</f>
        <v>2.4005769230769232E-5</v>
      </c>
      <c r="D859" t="s">
        <v>722</v>
      </c>
      <c r="E859" t="s">
        <v>733</v>
      </c>
      <c r="F859" t="s">
        <v>962</v>
      </c>
    </row>
    <row r="860" spans="1:6" x14ac:dyDescent="0.35">
      <c r="A860" t="s">
        <v>519</v>
      </c>
      <c r="B860" t="s">
        <v>719</v>
      </c>
      <c r="C860">
        <f>1</f>
        <v>1</v>
      </c>
      <c r="D860" t="s">
        <v>729</v>
      </c>
      <c r="E860" t="s">
        <v>729</v>
      </c>
    </row>
    <row r="861" spans="1:6" x14ac:dyDescent="0.35">
      <c r="A861" t="s">
        <v>520</v>
      </c>
      <c r="B861" t="s">
        <v>718</v>
      </c>
      <c r="C861">
        <v>2</v>
      </c>
      <c r="D861" t="s">
        <v>722</v>
      </c>
      <c r="E861" t="s">
        <v>722</v>
      </c>
      <c r="F861" t="s">
        <v>963</v>
      </c>
    </row>
    <row r="862" spans="1:6" x14ac:dyDescent="0.35">
      <c r="A862" t="s">
        <v>521</v>
      </c>
      <c r="B862" t="s">
        <v>718</v>
      </c>
      <c r="C862">
        <v>20</v>
      </c>
      <c r="D862" t="s">
        <v>722</v>
      </c>
      <c r="E862" t="s">
        <v>722</v>
      </c>
      <c r="F862" t="s">
        <v>964</v>
      </c>
    </row>
    <row r="863" spans="1:6" x14ac:dyDescent="0.35">
      <c r="A863" t="s">
        <v>522</v>
      </c>
      <c r="B863" t="s">
        <v>718</v>
      </c>
      <c r="C863">
        <f>(40 * 8760 * 0.342) / (9600000 * 20 * 26)</f>
        <v>2.4005769230769232E-5</v>
      </c>
      <c r="D863" t="s">
        <v>722</v>
      </c>
      <c r="E863" t="s">
        <v>733</v>
      </c>
      <c r="F863" t="s">
        <v>959</v>
      </c>
    </row>
    <row r="864" spans="1:6" x14ac:dyDescent="0.35">
      <c r="A864" t="s">
        <v>522</v>
      </c>
      <c r="B864" t="s">
        <v>719</v>
      </c>
      <c r="C864">
        <v>1</v>
      </c>
      <c r="D864" t="s">
        <v>729</v>
      </c>
      <c r="E864" t="s">
        <v>729</v>
      </c>
    </row>
    <row r="865" spans="1:6" x14ac:dyDescent="0.35">
      <c r="A865" t="s">
        <v>523</v>
      </c>
      <c r="B865" t="s">
        <v>718</v>
      </c>
      <c r="C865">
        <v>2</v>
      </c>
      <c r="D865" t="s">
        <v>722</v>
      </c>
      <c r="E865" t="s">
        <v>722</v>
      </c>
      <c r="F865" t="s">
        <v>960</v>
      </c>
    </row>
    <row r="866" spans="1:6" x14ac:dyDescent="0.35">
      <c r="A866" t="s">
        <v>524</v>
      </c>
      <c r="B866" t="s">
        <v>718</v>
      </c>
      <c r="C866">
        <v>20</v>
      </c>
      <c r="D866" t="s">
        <v>722</v>
      </c>
      <c r="E866" t="s">
        <v>722</v>
      </c>
      <c r="F866" t="s">
        <v>961</v>
      </c>
    </row>
    <row r="867" spans="1:6" x14ac:dyDescent="0.35">
      <c r="A867" t="s">
        <v>525</v>
      </c>
      <c r="B867" t="s">
        <v>718</v>
      </c>
      <c r="C867">
        <f>(40 * 8760 * 0.342) / (9600000 * 20 * 26)</f>
        <v>2.4005769230769232E-5</v>
      </c>
      <c r="D867" t="s">
        <v>722</v>
      </c>
      <c r="E867" t="s">
        <v>733</v>
      </c>
      <c r="F867" t="s">
        <v>959</v>
      </c>
    </row>
    <row r="868" spans="1:6" x14ac:dyDescent="0.35">
      <c r="A868" t="s">
        <v>525</v>
      </c>
      <c r="B868" t="s">
        <v>719</v>
      </c>
      <c r="C868">
        <v>1</v>
      </c>
      <c r="D868" t="s">
        <v>729</v>
      </c>
      <c r="E868" t="s">
        <v>729</v>
      </c>
    </row>
    <row r="869" spans="1:6" x14ac:dyDescent="0.35">
      <c r="A869" t="s">
        <v>526</v>
      </c>
      <c r="B869" t="s">
        <v>718</v>
      </c>
      <c r="C869">
        <v>2</v>
      </c>
      <c r="D869" t="s">
        <v>722</v>
      </c>
      <c r="E869" t="s">
        <v>722</v>
      </c>
      <c r="F869" t="s">
        <v>960</v>
      </c>
    </row>
    <row r="870" spans="1:6" x14ac:dyDescent="0.35">
      <c r="A870" t="s">
        <v>527</v>
      </c>
      <c r="B870" t="s">
        <v>718</v>
      </c>
      <c r="C870">
        <v>20</v>
      </c>
      <c r="D870" t="s">
        <v>722</v>
      </c>
      <c r="E870" t="s">
        <v>722</v>
      </c>
      <c r="F870" t="s">
        <v>961</v>
      </c>
    </row>
    <row r="871" spans="1:6" x14ac:dyDescent="0.35">
      <c r="A871" t="s">
        <v>528</v>
      </c>
      <c r="B871" t="s">
        <v>718</v>
      </c>
      <c r="C871">
        <f>(40 * 8760 * 0.342) / (9600000 * 20 * 26)</f>
        <v>2.4005769230769232E-5</v>
      </c>
      <c r="D871" t="s">
        <v>722</v>
      </c>
      <c r="E871" t="s">
        <v>733</v>
      </c>
      <c r="F871" t="s">
        <v>959</v>
      </c>
    </row>
    <row r="872" spans="1:6" x14ac:dyDescent="0.35">
      <c r="A872" t="s">
        <v>528</v>
      </c>
      <c r="B872" t="s">
        <v>719</v>
      </c>
      <c r="C872">
        <v>1</v>
      </c>
      <c r="D872" t="s">
        <v>729</v>
      </c>
      <c r="E872" t="s">
        <v>729</v>
      </c>
    </row>
    <row r="873" spans="1:6" x14ac:dyDescent="0.35">
      <c r="A873" t="s">
        <v>529</v>
      </c>
      <c r="B873" t="s">
        <v>718</v>
      </c>
      <c r="C873">
        <v>2</v>
      </c>
      <c r="D873" t="s">
        <v>722</v>
      </c>
      <c r="E873" t="s">
        <v>722</v>
      </c>
      <c r="F873" t="s">
        <v>960</v>
      </c>
    </row>
    <row r="874" spans="1:6" x14ac:dyDescent="0.35">
      <c r="A874" t="s">
        <v>530</v>
      </c>
      <c r="B874" t="s">
        <v>718</v>
      </c>
      <c r="C874">
        <v>20</v>
      </c>
      <c r="D874" t="s">
        <v>722</v>
      </c>
      <c r="E874" t="s">
        <v>722</v>
      </c>
      <c r="F874" t="s">
        <v>961</v>
      </c>
    </row>
    <row r="875" spans="1:6" x14ac:dyDescent="0.35">
      <c r="A875" t="s">
        <v>531</v>
      </c>
      <c r="B875" t="s">
        <v>718</v>
      </c>
      <c r="C875">
        <f>1 * 8760 * 0.275 / (343 * 400000)</f>
        <v>1.7558309037900874E-5</v>
      </c>
      <c r="D875" t="s">
        <v>722</v>
      </c>
      <c r="E875" t="s">
        <v>732</v>
      </c>
      <c r="F875" t="s">
        <v>811</v>
      </c>
    </row>
    <row r="876" spans="1:6" x14ac:dyDescent="0.35">
      <c r="A876" t="s">
        <v>531</v>
      </c>
      <c r="B876" t="s">
        <v>719</v>
      </c>
      <c r="C876">
        <f>1</f>
        <v>1</v>
      </c>
      <c r="D876" t="s">
        <v>725</v>
      </c>
      <c r="E876" t="s">
        <v>725</v>
      </c>
    </row>
    <row r="877" spans="1:6" x14ac:dyDescent="0.35">
      <c r="A877" t="s">
        <v>532</v>
      </c>
      <c r="B877" t="s">
        <v>718</v>
      </c>
      <c r="C877">
        <f>1 * 8760 * 0.275 / (343 * 400000)</f>
        <v>1.7558309037900874E-5</v>
      </c>
      <c r="D877" t="s">
        <v>722</v>
      </c>
      <c r="E877" t="s">
        <v>732</v>
      </c>
      <c r="F877" t="s">
        <v>811</v>
      </c>
    </row>
    <row r="878" spans="1:6" x14ac:dyDescent="0.35">
      <c r="A878" t="s">
        <v>532</v>
      </c>
      <c r="B878" t="s">
        <v>719</v>
      </c>
      <c r="C878">
        <f>1</f>
        <v>1</v>
      </c>
      <c r="D878" t="s">
        <v>725</v>
      </c>
      <c r="E878" t="s">
        <v>725</v>
      </c>
    </row>
    <row r="879" spans="1:6" x14ac:dyDescent="0.35">
      <c r="A879" t="s">
        <v>533</v>
      </c>
      <c r="B879" t="s">
        <v>718</v>
      </c>
      <c r="C879">
        <f>1 * 8760 * 0.275 / (343 * 400000)</f>
        <v>1.7558309037900874E-5</v>
      </c>
      <c r="D879" t="s">
        <v>722</v>
      </c>
      <c r="E879" t="s">
        <v>732</v>
      </c>
      <c r="F879" t="s">
        <v>811</v>
      </c>
    </row>
    <row r="880" spans="1:6" x14ac:dyDescent="0.35">
      <c r="A880" t="s">
        <v>533</v>
      </c>
      <c r="B880" t="s">
        <v>719</v>
      </c>
      <c r="C880">
        <f>1</f>
        <v>1</v>
      </c>
      <c r="D880" t="s">
        <v>725</v>
      </c>
      <c r="E880" t="s">
        <v>725</v>
      </c>
    </row>
    <row r="881" spans="1:6" x14ac:dyDescent="0.35">
      <c r="A881" t="s">
        <v>534</v>
      </c>
      <c r="B881" t="s">
        <v>718</v>
      </c>
      <c r="C881">
        <f>1 * 8760 * 0.275 / (343 * 400000)</f>
        <v>1.7558309037900874E-5</v>
      </c>
      <c r="D881" t="s">
        <v>722</v>
      </c>
      <c r="E881" t="s">
        <v>732</v>
      </c>
      <c r="F881" t="s">
        <v>811</v>
      </c>
    </row>
    <row r="882" spans="1:6" x14ac:dyDescent="0.35">
      <c r="A882" t="s">
        <v>534</v>
      </c>
      <c r="B882" t="s">
        <v>719</v>
      </c>
      <c r="C882">
        <f>1</f>
        <v>1</v>
      </c>
      <c r="D882" t="s">
        <v>725</v>
      </c>
      <c r="E882" t="s">
        <v>725</v>
      </c>
    </row>
    <row r="883" spans="1:6" x14ac:dyDescent="0.35">
      <c r="A883" t="s">
        <v>535</v>
      </c>
      <c r="B883" t="s">
        <v>718</v>
      </c>
      <c r="C883">
        <f>1 * 8760 * 0.342 / (28 * 27300)</f>
        <v>3.9193092621664051E-3</v>
      </c>
      <c r="D883" t="s">
        <v>722</v>
      </c>
      <c r="E883" t="s">
        <v>732</v>
      </c>
      <c r="F883" t="s">
        <v>1036</v>
      </c>
    </row>
    <row r="884" spans="1:6" x14ac:dyDescent="0.35">
      <c r="A884" t="s">
        <v>535</v>
      </c>
      <c r="B884" t="s">
        <v>719</v>
      </c>
      <c r="C884">
        <f>1</f>
        <v>1</v>
      </c>
      <c r="D884" t="s">
        <v>725</v>
      </c>
      <c r="E884" t="s">
        <v>725</v>
      </c>
    </row>
    <row r="885" spans="1:6" x14ac:dyDescent="0.35">
      <c r="A885" t="s">
        <v>536</v>
      </c>
      <c r="B885" t="s">
        <v>718</v>
      </c>
      <c r="C885">
        <f>1 * 8760 * 0.093 / (7.4 * 98000)</f>
        <v>1.1233866519580805E-3</v>
      </c>
      <c r="D885" t="s">
        <v>722</v>
      </c>
      <c r="E885" t="s">
        <v>733</v>
      </c>
      <c r="F885" t="s">
        <v>1034</v>
      </c>
    </row>
    <row r="886" spans="1:6" x14ac:dyDescent="0.35">
      <c r="A886" t="s">
        <v>536</v>
      </c>
      <c r="B886" t="s">
        <v>719</v>
      </c>
      <c r="C886">
        <f>1/7.4</f>
        <v>0.13513513513513511</v>
      </c>
      <c r="D886" t="s">
        <v>726</v>
      </c>
      <c r="E886" t="s">
        <v>729</v>
      </c>
      <c r="F886" t="s">
        <v>1035</v>
      </c>
    </row>
    <row r="887" spans="1:6" x14ac:dyDescent="0.35">
      <c r="A887" t="s">
        <v>537</v>
      </c>
      <c r="B887" t="s">
        <v>718</v>
      </c>
      <c r="C887">
        <f>1 * 8760 * 0.093 / (7.4 * 98000)</f>
        <v>1.1233866519580805E-3</v>
      </c>
      <c r="D887" t="s">
        <v>722</v>
      </c>
      <c r="E887" t="s">
        <v>733</v>
      </c>
      <c r="F887" t="s">
        <v>1034</v>
      </c>
    </row>
    <row r="888" spans="1:6" x14ac:dyDescent="0.35">
      <c r="A888" t="s">
        <v>537</v>
      </c>
      <c r="B888" t="s">
        <v>719</v>
      </c>
      <c r="C888">
        <f>1/7.4</f>
        <v>0.13513513513513511</v>
      </c>
      <c r="D888" t="s">
        <v>726</v>
      </c>
      <c r="E888" t="s">
        <v>729</v>
      </c>
      <c r="F888" t="s">
        <v>1035</v>
      </c>
    </row>
    <row r="889" spans="1:6" x14ac:dyDescent="0.35">
      <c r="A889" t="s">
        <v>538</v>
      </c>
      <c r="B889" t="s">
        <v>718</v>
      </c>
      <c r="C889">
        <f>1 * 8760 * 0.093 / (7.4 * 98000)</f>
        <v>1.1233866519580805E-3</v>
      </c>
      <c r="D889" t="s">
        <v>722</v>
      </c>
      <c r="E889" t="s">
        <v>733</v>
      </c>
      <c r="F889" t="s">
        <v>1034</v>
      </c>
    </row>
    <row r="890" spans="1:6" x14ac:dyDescent="0.35">
      <c r="A890" t="s">
        <v>538</v>
      </c>
      <c r="B890" t="s">
        <v>719</v>
      </c>
      <c r="C890">
        <f>1/7.4</f>
        <v>0.13513513513513511</v>
      </c>
      <c r="D890" t="s">
        <v>726</v>
      </c>
      <c r="E890" t="s">
        <v>729</v>
      </c>
      <c r="F890" t="s">
        <v>1035</v>
      </c>
    </row>
    <row r="891" spans="1:6" x14ac:dyDescent="0.35">
      <c r="A891" t="s">
        <v>539</v>
      </c>
      <c r="B891" t="s">
        <v>718</v>
      </c>
      <c r="C891">
        <f>1 * 8760 * 0.093 / (7.4 * 98000)</f>
        <v>1.1233866519580805E-3</v>
      </c>
      <c r="D891" t="s">
        <v>722</v>
      </c>
      <c r="E891" t="s">
        <v>733</v>
      </c>
      <c r="F891" t="s">
        <v>1034</v>
      </c>
    </row>
    <row r="892" spans="1:6" x14ac:dyDescent="0.35">
      <c r="A892" t="s">
        <v>539</v>
      </c>
      <c r="B892" t="s">
        <v>719</v>
      </c>
      <c r="C892">
        <f>1/7.4</f>
        <v>0.13513513513513511</v>
      </c>
      <c r="D892" t="s">
        <v>726</v>
      </c>
      <c r="E892" t="s">
        <v>729</v>
      </c>
      <c r="F892" t="s">
        <v>1035</v>
      </c>
    </row>
    <row r="893" spans="1:6" x14ac:dyDescent="0.35">
      <c r="A893" t="s">
        <v>540</v>
      </c>
      <c r="B893" t="s">
        <v>718</v>
      </c>
      <c r="C893">
        <f>1 * 8760 * 0.093 / (7.4 * 98000)</f>
        <v>1.1233866519580805E-3</v>
      </c>
      <c r="D893" t="s">
        <v>722</v>
      </c>
      <c r="E893" t="s">
        <v>733</v>
      </c>
      <c r="F893" t="s">
        <v>1034</v>
      </c>
    </row>
    <row r="894" spans="1:6" x14ac:dyDescent="0.35">
      <c r="A894" t="s">
        <v>540</v>
      </c>
      <c r="B894" t="s">
        <v>719</v>
      </c>
      <c r="C894">
        <v>1</v>
      </c>
      <c r="D894" t="s">
        <v>729</v>
      </c>
      <c r="E894" t="s">
        <v>729</v>
      </c>
    </row>
    <row r="895" spans="1:6" x14ac:dyDescent="0.35">
      <c r="A895" t="s">
        <v>541</v>
      </c>
      <c r="B895" t="s">
        <v>718</v>
      </c>
      <c r="C895">
        <f>1 * 8760 * 0.093 / (7.4 * 98000)</f>
        <v>1.1233866519580805E-3</v>
      </c>
      <c r="D895" t="s">
        <v>722</v>
      </c>
      <c r="E895" t="s">
        <v>733</v>
      </c>
      <c r="F895" t="s">
        <v>1034</v>
      </c>
    </row>
    <row r="896" spans="1:6" x14ac:dyDescent="0.35">
      <c r="A896" t="s">
        <v>541</v>
      </c>
      <c r="B896" t="s">
        <v>719</v>
      </c>
      <c r="C896">
        <f>1/7.4</f>
        <v>0.13513513513513511</v>
      </c>
      <c r="D896" t="s">
        <v>726</v>
      </c>
      <c r="E896" t="s">
        <v>729</v>
      </c>
      <c r="F896" t="s">
        <v>1035</v>
      </c>
    </row>
    <row r="897" spans="1:6" x14ac:dyDescent="0.35">
      <c r="A897" t="s">
        <v>542</v>
      </c>
      <c r="B897" t="s">
        <v>718</v>
      </c>
      <c r="C897">
        <f>1 * 8760 * 0.093 / (7.4 * 98000)</f>
        <v>1.1233866519580805E-3</v>
      </c>
      <c r="D897" t="s">
        <v>722</v>
      </c>
      <c r="E897" t="s">
        <v>733</v>
      </c>
      <c r="F897" t="s">
        <v>1034</v>
      </c>
    </row>
    <row r="898" spans="1:6" x14ac:dyDescent="0.35">
      <c r="A898" t="s">
        <v>542</v>
      </c>
      <c r="B898" t="s">
        <v>719</v>
      </c>
      <c r="C898">
        <f>1/7.4</f>
        <v>0.13513513513513511</v>
      </c>
      <c r="D898" t="s">
        <v>726</v>
      </c>
      <c r="E898" t="s">
        <v>729</v>
      </c>
      <c r="F898" t="s">
        <v>1035</v>
      </c>
    </row>
    <row r="899" spans="1:6" x14ac:dyDescent="0.35">
      <c r="A899" t="s">
        <v>543</v>
      </c>
      <c r="B899" t="s">
        <v>718</v>
      </c>
      <c r="C899">
        <f>1 * 8760 * 0.093 / (7.4 * 98000)</f>
        <v>1.1233866519580805E-3</v>
      </c>
      <c r="D899" t="s">
        <v>722</v>
      </c>
      <c r="E899" t="s">
        <v>733</v>
      </c>
      <c r="F899" t="s">
        <v>1034</v>
      </c>
    </row>
    <row r="900" spans="1:6" x14ac:dyDescent="0.35">
      <c r="A900" t="s">
        <v>543</v>
      </c>
      <c r="B900" t="s">
        <v>719</v>
      </c>
      <c r="C900">
        <f>1/7.4</f>
        <v>0.13513513513513511</v>
      </c>
      <c r="D900" t="s">
        <v>726</v>
      </c>
      <c r="E900" t="s">
        <v>729</v>
      </c>
      <c r="F900" t="s">
        <v>1035</v>
      </c>
    </row>
    <row r="901" spans="1:6" x14ac:dyDescent="0.35">
      <c r="A901" t="s">
        <v>544</v>
      </c>
      <c r="B901" t="s">
        <v>718</v>
      </c>
      <c r="C901">
        <f>1 * 8760 * 0.093 / (3.2 * 78000)</f>
        <v>3.2639423076923075E-3</v>
      </c>
      <c r="D901" t="s">
        <v>722</v>
      </c>
      <c r="E901" t="s">
        <v>733</v>
      </c>
      <c r="F901" t="s">
        <v>812</v>
      </c>
    </row>
    <row r="902" spans="1:6" x14ac:dyDescent="0.35">
      <c r="A902" t="s">
        <v>544</v>
      </c>
      <c r="B902" t="s">
        <v>719</v>
      </c>
      <c r="C902">
        <f>1/3.2</f>
        <v>0.3125</v>
      </c>
      <c r="D902" t="s">
        <v>726</v>
      </c>
      <c r="E902" t="s">
        <v>729</v>
      </c>
      <c r="F902" t="s">
        <v>893</v>
      </c>
    </row>
    <row r="903" spans="1:6" x14ac:dyDescent="0.35">
      <c r="A903" t="s">
        <v>545</v>
      </c>
      <c r="B903" t="s">
        <v>718</v>
      </c>
      <c r="C903">
        <f>1 * 8760 * 0.093 / (3.2 * 78000)</f>
        <v>3.2639423076923075E-3</v>
      </c>
      <c r="D903" t="s">
        <v>722</v>
      </c>
      <c r="E903" t="s">
        <v>733</v>
      </c>
      <c r="F903" t="s">
        <v>812</v>
      </c>
    </row>
    <row r="904" spans="1:6" x14ac:dyDescent="0.35">
      <c r="A904" t="s">
        <v>545</v>
      </c>
      <c r="B904" t="s">
        <v>719</v>
      </c>
      <c r="C904">
        <f>1/3.2</f>
        <v>0.3125</v>
      </c>
      <c r="D904" t="s">
        <v>726</v>
      </c>
      <c r="E904" t="s">
        <v>729</v>
      </c>
      <c r="F904" t="s">
        <v>893</v>
      </c>
    </row>
    <row r="905" spans="1:6" x14ac:dyDescent="0.35">
      <c r="A905" t="s">
        <v>546</v>
      </c>
      <c r="B905" t="s">
        <v>718</v>
      </c>
      <c r="C905">
        <f>1 * 8760 * 0.093 / (3.2 * 78000)</f>
        <v>3.2639423076923075E-3</v>
      </c>
      <c r="D905" t="s">
        <v>722</v>
      </c>
      <c r="E905" t="s">
        <v>733</v>
      </c>
      <c r="F905" t="s">
        <v>812</v>
      </c>
    </row>
    <row r="906" spans="1:6" x14ac:dyDescent="0.35">
      <c r="A906" t="s">
        <v>546</v>
      </c>
      <c r="B906" t="s">
        <v>719</v>
      </c>
      <c r="C906">
        <f>1/3.2</f>
        <v>0.3125</v>
      </c>
      <c r="D906" t="s">
        <v>726</v>
      </c>
      <c r="E906" t="s">
        <v>729</v>
      </c>
      <c r="F906" t="s">
        <v>893</v>
      </c>
    </row>
    <row r="907" spans="1:6" x14ac:dyDescent="0.35">
      <c r="A907" t="s">
        <v>547</v>
      </c>
      <c r="B907" t="s">
        <v>718</v>
      </c>
      <c r="C907">
        <f>1 * 8760 * 0.093 / (3.2 * 78000)</f>
        <v>3.2639423076923075E-3</v>
      </c>
      <c r="D907" t="s">
        <v>722</v>
      </c>
      <c r="E907" t="s">
        <v>733</v>
      </c>
      <c r="F907" t="s">
        <v>812</v>
      </c>
    </row>
    <row r="908" spans="1:6" x14ac:dyDescent="0.35">
      <c r="A908" t="s">
        <v>547</v>
      </c>
      <c r="B908" t="s">
        <v>719</v>
      </c>
      <c r="C908">
        <f>1/3.2</f>
        <v>0.3125</v>
      </c>
      <c r="D908" t="s">
        <v>726</v>
      </c>
      <c r="E908" t="s">
        <v>729</v>
      </c>
      <c r="F908" t="s">
        <v>893</v>
      </c>
    </row>
    <row r="909" spans="1:6" x14ac:dyDescent="0.35">
      <c r="A909" t="s">
        <v>548</v>
      </c>
      <c r="B909" t="s">
        <v>718</v>
      </c>
      <c r="C909">
        <f>1 * 8760 * 0.093 / (3.2 * 78000)</f>
        <v>3.2639423076923075E-3</v>
      </c>
      <c r="D909" t="s">
        <v>722</v>
      </c>
      <c r="E909" t="s">
        <v>733</v>
      </c>
      <c r="F909" t="s">
        <v>812</v>
      </c>
    </row>
    <row r="910" spans="1:6" x14ac:dyDescent="0.35">
      <c r="A910" t="s">
        <v>548</v>
      </c>
      <c r="B910" t="s">
        <v>719</v>
      </c>
      <c r="C910">
        <f>1/3.2</f>
        <v>0.3125</v>
      </c>
      <c r="D910" t="s">
        <v>726</v>
      </c>
      <c r="E910" t="s">
        <v>729</v>
      </c>
      <c r="F910" t="s">
        <v>893</v>
      </c>
    </row>
    <row r="911" spans="1:6" x14ac:dyDescent="0.35">
      <c r="A911" t="s">
        <v>549</v>
      </c>
      <c r="B911" t="s">
        <v>718</v>
      </c>
      <c r="C911">
        <f>1 * 8760 * 0.093 / (3.2 * 78000)</f>
        <v>3.2639423076923075E-3</v>
      </c>
      <c r="D911" t="s">
        <v>722</v>
      </c>
      <c r="E911" t="s">
        <v>733</v>
      </c>
      <c r="F911" t="s">
        <v>812</v>
      </c>
    </row>
    <row r="912" spans="1:6" x14ac:dyDescent="0.35">
      <c r="A912" t="s">
        <v>549</v>
      </c>
      <c r="B912" t="s">
        <v>719</v>
      </c>
      <c r="C912">
        <f>1/3.2</f>
        <v>0.3125</v>
      </c>
      <c r="D912" t="s">
        <v>726</v>
      </c>
      <c r="E912" t="s">
        <v>729</v>
      </c>
      <c r="F912" t="s">
        <v>893</v>
      </c>
    </row>
    <row r="913" spans="1:6" x14ac:dyDescent="0.35">
      <c r="A913" t="s">
        <v>550</v>
      </c>
      <c r="B913" t="s">
        <v>718</v>
      </c>
      <c r="C913">
        <f>1 * 8760 * 0.093 / (3.2 * 78000)</f>
        <v>3.2639423076923075E-3</v>
      </c>
      <c r="D913" t="s">
        <v>722</v>
      </c>
      <c r="E913" t="s">
        <v>733</v>
      </c>
      <c r="F913" t="s">
        <v>812</v>
      </c>
    </row>
    <row r="914" spans="1:6" x14ac:dyDescent="0.35">
      <c r="A914" t="s">
        <v>550</v>
      </c>
      <c r="B914" t="s">
        <v>719</v>
      </c>
      <c r="C914">
        <f>1/3.2</f>
        <v>0.3125</v>
      </c>
      <c r="D914" t="s">
        <v>726</v>
      </c>
      <c r="E914" t="s">
        <v>729</v>
      </c>
      <c r="F914" t="s">
        <v>893</v>
      </c>
    </row>
    <row r="915" spans="1:6" x14ac:dyDescent="0.35">
      <c r="A915" t="s">
        <v>551</v>
      </c>
      <c r="B915" t="s">
        <v>718</v>
      </c>
      <c r="C915">
        <f>1 * 8760 * 0.093 / (3.2 * 78000)</f>
        <v>3.2639423076923075E-3</v>
      </c>
      <c r="D915" t="s">
        <v>722</v>
      </c>
      <c r="E915" t="s">
        <v>733</v>
      </c>
      <c r="F915" t="s">
        <v>812</v>
      </c>
    </row>
    <row r="916" spans="1:6" x14ac:dyDescent="0.35">
      <c r="A916" t="s">
        <v>551</v>
      </c>
      <c r="B916" t="s">
        <v>719</v>
      </c>
      <c r="C916">
        <f>1/3.2</f>
        <v>0.3125</v>
      </c>
      <c r="D916" t="s">
        <v>726</v>
      </c>
      <c r="E916" t="s">
        <v>729</v>
      </c>
      <c r="F916" t="s">
        <v>893</v>
      </c>
    </row>
    <row r="917" spans="1:6" x14ac:dyDescent="0.35">
      <c r="A917" t="s">
        <v>552</v>
      </c>
      <c r="B917" t="s">
        <v>718</v>
      </c>
      <c r="C917">
        <f>1 * 8760 * 0.093 / (3.2 * 78000)</f>
        <v>3.2639423076923075E-3</v>
      </c>
      <c r="D917" t="s">
        <v>722</v>
      </c>
      <c r="E917" t="s">
        <v>733</v>
      </c>
      <c r="F917" t="s">
        <v>812</v>
      </c>
    </row>
    <row r="918" spans="1:6" x14ac:dyDescent="0.35">
      <c r="A918" t="s">
        <v>552</v>
      </c>
      <c r="B918" t="s">
        <v>719</v>
      </c>
      <c r="C918">
        <f>1/3.2</f>
        <v>0.3125</v>
      </c>
      <c r="D918" t="s">
        <v>726</v>
      </c>
      <c r="E918" t="s">
        <v>729</v>
      </c>
      <c r="F918" t="s">
        <v>893</v>
      </c>
    </row>
    <row r="919" spans="1:6" x14ac:dyDescent="0.35">
      <c r="A919" t="s">
        <v>553</v>
      </c>
      <c r="B919" t="s">
        <v>718</v>
      </c>
      <c r="C919">
        <f>1 * 8760 * 0.093 / (3.2 * 78000)</f>
        <v>3.2639423076923075E-3</v>
      </c>
      <c r="D919" t="s">
        <v>722</v>
      </c>
      <c r="E919" t="s">
        <v>733</v>
      </c>
      <c r="F919" t="s">
        <v>812</v>
      </c>
    </row>
    <row r="920" spans="1:6" x14ac:dyDescent="0.35">
      <c r="A920" t="s">
        <v>553</v>
      </c>
      <c r="B920" t="s">
        <v>719</v>
      </c>
      <c r="C920">
        <f>1/3.2</f>
        <v>0.3125</v>
      </c>
      <c r="D920" t="s">
        <v>726</v>
      </c>
      <c r="E920" t="s">
        <v>729</v>
      </c>
      <c r="F920" t="s">
        <v>893</v>
      </c>
    </row>
    <row r="921" spans="1:6" x14ac:dyDescent="0.35">
      <c r="A921" t="s">
        <v>554</v>
      </c>
      <c r="B921" t="s">
        <v>718</v>
      </c>
      <c r="C921">
        <f>1 * 8760 * 0.093 / (3.2 * 78000)</f>
        <v>3.2639423076923075E-3</v>
      </c>
      <c r="D921" t="s">
        <v>722</v>
      </c>
      <c r="E921" t="s">
        <v>733</v>
      </c>
      <c r="F921" t="s">
        <v>812</v>
      </c>
    </row>
    <row r="922" spans="1:6" x14ac:dyDescent="0.35">
      <c r="A922" t="s">
        <v>554</v>
      </c>
      <c r="B922" t="s">
        <v>719</v>
      </c>
      <c r="C922">
        <f>1/3.2</f>
        <v>0.3125</v>
      </c>
      <c r="D922" t="s">
        <v>726</v>
      </c>
      <c r="E922" t="s">
        <v>729</v>
      </c>
      <c r="F922" t="s">
        <v>893</v>
      </c>
    </row>
    <row r="923" spans="1:6" x14ac:dyDescent="0.35">
      <c r="A923" t="s">
        <v>555</v>
      </c>
      <c r="B923" t="s">
        <v>718</v>
      </c>
      <c r="C923">
        <f>1 * 8760 * 0.093 / (3.2 * 78000)</f>
        <v>3.2639423076923075E-3</v>
      </c>
      <c r="D923" t="s">
        <v>722</v>
      </c>
      <c r="E923" t="s">
        <v>733</v>
      </c>
      <c r="F923" t="s">
        <v>812</v>
      </c>
    </row>
    <row r="924" spans="1:6" x14ac:dyDescent="0.35">
      <c r="A924" t="s">
        <v>555</v>
      </c>
      <c r="B924" t="s">
        <v>719</v>
      </c>
      <c r="C924">
        <f>1/3.2</f>
        <v>0.3125</v>
      </c>
      <c r="D924" t="s">
        <v>726</v>
      </c>
      <c r="E924" t="s">
        <v>729</v>
      </c>
      <c r="F924" t="s">
        <v>893</v>
      </c>
    </row>
    <row r="925" spans="1:6" x14ac:dyDescent="0.35">
      <c r="A925" t="s">
        <v>556</v>
      </c>
      <c r="B925" t="s">
        <v>718</v>
      </c>
      <c r="C925">
        <f>1 * 8760 * 0.093 / (3.2 * 78000)</f>
        <v>3.2639423076923075E-3</v>
      </c>
      <c r="D925" t="s">
        <v>722</v>
      </c>
      <c r="E925" t="s">
        <v>733</v>
      </c>
      <c r="F925" t="s">
        <v>812</v>
      </c>
    </row>
    <row r="926" spans="1:6" x14ac:dyDescent="0.35">
      <c r="A926" t="s">
        <v>556</v>
      </c>
      <c r="B926" t="s">
        <v>719</v>
      </c>
      <c r="C926">
        <f>1/3.2</f>
        <v>0.3125</v>
      </c>
      <c r="D926" t="s">
        <v>726</v>
      </c>
      <c r="E926" t="s">
        <v>729</v>
      </c>
      <c r="F926" t="s">
        <v>893</v>
      </c>
    </row>
    <row r="927" spans="1:6" x14ac:dyDescent="0.35">
      <c r="A927" t="s">
        <v>557</v>
      </c>
      <c r="B927" t="s">
        <v>718</v>
      </c>
      <c r="C927">
        <f>1 * 8760 * 0.093 / (3.2 * 78000)</f>
        <v>3.2639423076923075E-3</v>
      </c>
      <c r="D927" t="s">
        <v>722</v>
      </c>
      <c r="E927" t="s">
        <v>733</v>
      </c>
      <c r="F927" t="s">
        <v>812</v>
      </c>
    </row>
    <row r="928" spans="1:6" x14ac:dyDescent="0.35">
      <c r="A928" t="s">
        <v>557</v>
      </c>
      <c r="B928" t="s">
        <v>719</v>
      </c>
      <c r="C928">
        <f>1/3.2</f>
        <v>0.3125</v>
      </c>
      <c r="D928" t="s">
        <v>726</v>
      </c>
      <c r="E928" t="s">
        <v>729</v>
      </c>
      <c r="F928" t="s">
        <v>893</v>
      </c>
    </row>
    <row r="929" spans="1:6" x14ac:dyDescent="0.35">
      <c r="A929" t="s">
        <v>558</v>
      </c>
      <c r="B929" t="s">
        <v>718</v>
      </c>
      <c r="C929">
        <f>1 * 8760 * 0.093 / (3.2 * 78000)</f>
        <v>3.2639423076923075E-3</v>
      </c>
      <c r="D929" t="s">
        <v>722</v>
      </c>
      <c r="E929" t="s">
        <v>733</v>
      </c>
      <c r="F929" t="s">
        <v>812</v>
      </c>
    </row>
    <row r="930" spans="1:6" x14ac:dyDescent="0.35">
      <c r="A930" t="s">
        <v>558</v>
      </c>
      <c r="B930" t="s">
        <v>719</v>
      </c>
      <c r="C930">
        <f>1/3.2</f>
        <v>0.3125</v>
      </c>
      <c r="D930" t="s">
        <v>726</v>
      </c>
      <c r="E930" t="s">
        <v>729</v>
      </c>
      <c r="F930" t="s">
        <v>893</v>
      </c>
    </row>
    <row r="931" spans="1:6" x14ac:dyDescent="0.35">
      <c r="A931" t="s">
        <v>559</v>
      </c>
      <c r="B931" t="s">
        <v>718</v>
      </c>
      <c r="C931">
        <f>1 * 8760 * 0.093 / (3.2 * 78000)</f>
        <v>3.2639423076923075E-3</v>
      </c>
      <c r="D931" t="s">
        <v>722</v>
      </c>
      <c r="E931" t="s">
        <v>733</v>
      </c>
      <c r="F931" t="s">
        <v>812</v>
      </c>
    </row>
    <row r="932" spans="1:6" x14ac:dyDescent="0.35">
      <c r="A932" t="s">
        <v>559</v>
      </c>
      <c r="B932" t="s">
        <v>719</v>
      </c>
      <c r="C932">
        <f>1/3.2</f>
        <v>0.3125</v>
      </c>
      <c r="D932" t="s">
        <v>726</v>
      </c>
      <c r="E932" t="s">
        <v>729</v>
      </c>
      <c r="F932" t="s">
        <v>893</v>
      </c>
    </row>
    <row r="933" spans="1:6" x14ac:dyDescent="0.35">
      <c r="A933" t="s">
        <v>560</v>
      </c>
      <c r="B933" t="s">
        <v>719</v>
      </c>
      <c r="C933">
        <f>1</f>
        <v>1</v>
      </c>
      <c r="D933" t="s">
        <v>721</v>
      </c>
      <c r="E933" t="s">
        <v>721</v>
      </c>
    </row>
    <row r="934" spans="1:6" x14ac:dyDescent="0.35">
      <c r="A934" t="s">
        <v>561</v>
      </c>
      <c r="B934" t="s">
        <v>717</v>
      </c>
      <c r="C934">
        <f>1 * 3.6 / (3900*1000)</f>
        <v>9.2307692307692312E-7</v>
      </c>
      <c r="D934" t="s">
        <v>721</v>
      </c>
      <c r="E934" t="s">
        <v>723</v>
      </c>
      <c r="F934" t="s">
        <v>813</v>
      </c>
    </row>
    <row r="935" spans="1:6" x14ac:dyDescent="0.35">
      <c r="A935" t="s">
        <v>562</v>
      </c>
      <c r="B935" t="s">
        <v>717</v>
      </c>
      <c r="C935">
        <f>-1 * 3.6 / 12.35</f>
        <v>-0.29149797570850206</v>
      </c>
      <c r="D935" t="s">
        <v>721</v>
      </c>
      <c r="E935" t="s">
        <v>723</v>
      </c>
      <c r="F935" t="s">
        <v>814</v>
      </c>
    </row>
    <row r="936" spans="1:6" x14ac:dyDescent="0.35">
      <c r="A936" t="s">
        <v>563</v>
      </c>
      <c r="B936" t="s">
        <v>717</v>
      </c>
      <c r="C936">
        <f>-1 * 3.6 / (6.087*0.95)</f>
        <v>-0.62255194417784243</v>
      </c>
      <c r="D936" t="s">
        <v>721</v>
      </c>
      <c r="E936" t="s">
        <v>723</v>
      </c>
      <c r="F936" t="s">
        <v>815</v>
      </c>
    </row>
    <row r="937" spans="1:6" x14ac:dyDescent="0.35">
      <c r="A937" t="s">
        <v>564</v>
      </c>
      <c r="B937" t="s">
        <v>717</v>
      </c>
      <c r="C937">
        <f>-1 * 3.6 / 2.453</f>
        <v>-1.4675907052588668</v>
      </c>
      <c r="D937" t="s">
        <v>721</v>
      </c>
      <c r="E937" t="s">
        <v>723</v>
      </c>
      <c r="F937" t="s">
        <v>816</v>
      </c>
    </row>
    <row r="938" spans="1:6" x14ac:dyDescent="0.35">
      <c r="A938" t="s">
        <v>565</v>
      </c>
      <c r="B938" t="s">
        <v>717</v>
      </c>
      <c r="C938">
        <f>1 * 3.6 / (0.95*15)</f>
        <v>0.25263157894736843</v>
      </c>
      <c r="D938" t="s">
        <v>721</v>
      </c>
      <c r="E938" t="s">
        <v>723</v>
      </c>
      <c r="F938" t="s">
        <v>828</v>
      </c>
    </row>
    <row r="939" spans="1:6" x14ac:dyDescent="0.35">
      <c r="A939" t="s">
        <v>566</v>
      </c>
      <c r="B939" t="s">
        <v>718</v>
      </c>
      <c r="C939">
        <f>1000/2000000</f>
        <v>5.0000000000000001E-4</v>
      </c>
      <c r="D939" t="s">
        <v>722</v>
      </c>
      <c r="E939" t="s">
        <v>730</v>
      </c>
      <c r="F939" t="s">
        <v>941</v>
      </c>
    </row>
    <row r="940" spans="1:6" x14ac:dyDescent="0.35">
      <c r="A940" t="s">
        <v>566</v>
      </c>
      <c r="B940" t="s">
        <v>719</v>
      </c>
      <c r="C940">
        <f>1</f>
        <v>1</v>
      </c>
      <c r="D940" t="s">
        <v>723</v>
      </c>
      <c r="E940" t="s">
        <v>723</v>
      </c>
    </row>
    <row r="941" spans="1:6" x14ac:dyDescent="0.35">
      <c r="A941" t="s">
        <v>567</v>
      </c>
      <c r="B941" t="s">
        <v>718</v>
      </c>
      <c r="C941">
        <v>1</v>
      </c>
      <c r="D941" t="s">
        <v>722</v>
      </c>
      <c r="E941" t="s">
        <v>722</v>
      </c>
    </row>
    <row r="942" spans="1:6" x14ac:dyDescent="0.35">
      <c r="A942" t="s">
        <v>568</v>
      </c>
      <c r="B942" t="s">
        <v>718</v>
      </c>
      <c r="C942">
        <v>1</v>
      </c>
      <c r="D942" t="s">
        <v>722</v>
      </c>
      <c r="E942" t="s">
        <v>722</v>
      </c>
    </row>
    <row r="943" spans="1:6" x14ac:dyDescent="0.35">
      <c r="A943" t="s">
        <v>569</v>
      </c>
      <c r="B943" t="s">
        <v>718</v>
      </c>
      <c r="C943">
        <f>1000/2000000</f>
        <v>5.0000000000000001E-4</v>
      </c>
      <c r="D943" t="s">
        <v>722</v>
      </c>
      <c r="E943" t="s">
        <v>730</v>
      </c>
      <c r="F943" t="s">
        <v>941</v>
      </c>
    </row>
    <row r="944" spans="1:6" x14ac:dyDescent="0.35">
      <c r="A944" t="s">
        <v>569</v>
      </c>
      <c r="B944" t="s">
        <v>719</v>
      </c>
      <c r="C944">
        <f>1</f>
        <v>1</v>
      </c>
      <c r="D944" t="s">
        <v>723</v>
      </c>
      <c r="E944" t="s">
        <v>723</v>
      </c>
    </row>
    <row r="945" spans="1:6" x14ac:dyDescent="0.35">
      <c r="A945" t="s">
        <v>570</v>
      </c>
      <c r="B945" t="s">
        <v>718</v>
      </c>
      <c r="C945">
        <v>1</v>
      </c>
      <c r="D945" t="s">
        <v>722</v>
      </c>
      <c r="E945" t="s">
        <v>722</v>
      </c>
    </row>
    <row r="946" spans="1:6" x14ac:dyDescent="0.35">
      <c r="A946" t="s">
        <v>571</v>
      </c>
      <c r="B946" t="s">
        <v>718</v>
      </c>
      <c r="C946">
        <v>1</v>
      </c>
      <c r="D946" t="s">
        <v>722</v>
      </c>
      <c r="E946" t="s">
        <v>722</v>
      </c>
    </row>
    <row r="947" spans="1:6" x14ac:dyDescent="0.35">
      <c r="A947" t="s">
        <v>842</v>
      </c>
      <c r="B947" t="s">
        <v>718</v>
      </c>
      <c r="C947">
        <f>1000/2000000</f>
        <v>5.0000000000000001E-4</v>
      </c>
      <c r="D947" t="s">
        <v>722</v>
      </c>
      <c r="E947" t="s">
        <v>730</v>
      </c>
      <c r="F947" t="s">
        <v>941</v>
      </c>
    </row>
    <row r="948" spans="1:6" x14ac:dyDescent="0.35">
      <c r="A948" t="s">
        <v>842</v>
      </c>
      <c r="B948" t="s">
        <v>719</v>
      </c>
      <c r="C948">
        <f>1</f>
        <v>1</v>
      </c>
      <c r="D948" t="s">
        <v>723</v>
      </c>
      <c r="E948" t="s">
        <v>723</v>
      </c>
    </row>
    <row r="949" spans="1:6" x14ac:dyDescent="0.35">
      <c r="A949" t="s">
        <v>843</v>
      </c>
      <c r="B949" t="s">
        <v>718</v>
      </c>
      <c r="C949">
        <v>1</v>
      </c>
      <c r="D949" t="s">
        <v>722</v>
      </c>
      <c r="E949" t="s">
        <v>722</v>
      </c>
    </row>
    <row r="950" spans="1:6" x14ac:dyDescent="0.35">
      <c r="A950" t="s">
        <v>844</v>
      </c>
      <c r="B950" t="s">
        <v>718</v>
      </c>
      <c r="C950">
        <v>1</v>
      </c>
      <c r="D950" t="s">
        <v>722</v>
      </c>
      <c r="E950" t="s">
        <v>722</v>
      </c>
    </row>
    <row r="951" spans="1:6" x14ac:dyDescent="0.35">
      <c r="A951" t="s">
        <v>572</v>
      </c>
      <c r="B951" t="s">
        <v>717</v>
      </c>
      <c r="C951">
        <f>1 * 3.6 / 15.4</f>
        <v>0.23376623376623376</v>
      </c>
      <c r="D951" t="s">
        <v>721</v>
      </c>
      <c r="E951" t="s">
        <v>723</v>
      </c>
      <c r="F951" t="s">
        <v>817</v>
      </c>
    </row>
    <row r="952" spans="1:6" x14ac:dyDescent="0.35">
      <c r="A952" t="s">
        <v>573</v>
      </c>
      <c r="B952" t="s">
        <v>718</v>
      </c>
      <c r="C952">
        <f>(24*0.86)/2.7 / 1000000</f>
        <v>7.6444444444444432E-6</v>
      </c>
      <c r="D952" t="s">
        <v>722</v>
      </c>
      <c r="E952" t="s">
        <v>730</v>
      </c>
      <c r="F952" t="s">
        <v>818</v>
      </c>
    </row>
    <row r="953" spans="1:6" x14ac:dyDescent="0.35">
      <c r="A953" t="s">
        <v>573</v>
      </c>
      <c r="B953" t="s">
        <v>719</v>
      </c>
      <c r="C953">
        <f>1 / 5.54</f>
        <v>0.18050541516245489</v>
      </c>
      <c r="D953" t="s">
        <v>721</v>
      </c>
      <c r="E953" t="s">
        <v>723</v>
      </c>
      <c r="F953" t="s">
        <v>789</v>
      </c>
    </row>
    <row r="954" spans="1:6" x14ac:dyDescent="0.35">
      <c r="A954" t="s">
        <v>574</v>
      </c>
      <c r="B954" t="s">
        <v>717</v>
      </c>
      <c r="C954">
        <f>1 * 3.6 / 40.961</f>
        <v>8.788847928517371E-2</v>
      </c>
      <c r="D954" t="s">
        <v>721</v>
      </c>
      <c r="E954" t="s">
        <v>723</v>
      </c>
      <c r="F954" t="s">
        <v>819</v>
      </c>
    </row>
    <row r="955" spans="1:6" x14ac:dyDescent="0.35">
      <c r="A955" t="s">
        <v>575</v>
      </c>
      <c r="B955" t="s">
        <v>720</v>
      </c>
      <c r="C955">
        <f>0.777</f>
        <v>0.77700000000000002</v>
      </c>
      <c r="D955" t="s">
        <v>721</v>
      </c>
      <c r="E955" t="s">
        <v>724</v>
      </c>
      <c r="F955" t="s">
        <v>820</v>
      </c>
    </row>
    <row r="956" spans="1:6" x14ac:dyDescent="0.35">
      <c r="A956" t="s">
        <v>575</v>
      </c>
      <c r="B956" t="s">
        <v>720</v>
      </c>
      <c r="C956">
        <f>1/0.777</f>
        <v>1.287001287001287</v>
      </c>
      <c r="D956" t="s">
        <v>724</v>
      </c>
      <c r="E956" t="s">
        <v>721</v>
      </c>
      <c r="F956" t="s">
        <v>820</v>
      </c>
    </row>
    <row r="957" spans="1:6" x14ac:dyDescent="0.35">
      <c r="A957" t="s">
        <v>861</v>
      </c>
      <c r="B957" t="s">
        <v>720</v>
      </c>
      <c r="C957">
        <f>1 * 3.6 / 42.5</f>
        <v>8.4705882352941173E-2</v>
      </c>
      <c r="D957" t="s">
        <v>721</v>
      </c>
      <c r="E957" t="s">
        <v>723</v>
      </c>
      <c r="F957" t="s">
        <v>742</v>
      </c>
    </row>
    <row r="958" spans="1:6" x14ac:dyDescent="0.35">
      <c r="A958" t="s">
        <v>576</v>
      </c>
      <c r="B958" t="s">
        <v>720</v>
      </c>
      <c r="C958">
        <f>3.6/19</f>
        <v>0.18947368421052632</v>
      </c>
      <c r="D958" t="s">
        <v>721</v>
      </c>
      <c r="E958" t="s">
        <v>723</v>
      </c>
      <c r="F958" t="s">
        <v>1016</v>
      </c>
    </row>
    <row r="959" spans="1:6" x14ac:dyDescent="0.35">
      <c r="A959" t="s">
        <v>1039</v>
      </c>
      <c r="B959" t="s">
        <v>720</v>
      </c>
      <c r="C959">
        <f>3.6/13.622</f>
        <v>0.26427837321979153</v>
      </c>
      <c r="D959" t="s">
        <v>721</v>
      </c>
      <c r="E959" t="s">
        <v>723</v>
      </c>
      <c r="F959" t="s">
        <v>1040</v>
      </c>
    </row>
    <row r="960" spans="1:6" x14ac:dyDescent="0.35">
      <c r="A960" t="s">
        <v>577</v>
      </c>
      <c r="B960" t="s">
        <v>720</v>
      </c>
      <c r="C960">
        <f>1/11.83</f>
        <v>8.453085376162299E-2</v>
      </c>
      <c r="D960" t="s">
        <v>721</v>
      </c>
      <c r="E960" t="s">
        <v>723</v>
      </c>
      <c r="F960" t="s">
        <v>822</v>
      </c>
    </row>
    <row r="961" spans="1:6" x14ac:dyDescent="0.35">
      <c r="A961" t="s">
        <v>578</v>
      </c>
      <c r="B961" t="s">
        <v>720</v>
      </c>
      <c r="C961">
        <f>1/3.6</f>
        <v>0.27777777777777779</v>
      </c>
      <c r="D961" t="s">
        <v>723</v>
      </c>
      <c r="E961" t="s">
        <v>727</v>
      </c>
    </row>
    <row r="962" spans="1:6" x14ac:dyDescent="0.35">
      <c r="A962" t="s">
        <v>578</v>
      </c>
      <c r="B962" t="s">
        <v>720</v>
      </c>
      <c r="C962">
        <f>3.6</f>
        <v>3.6</v>
      </c>
      <c r="D962" t="s">
        <v>727</v>
      </c>
      <c r="E962" t="s">
        <v>723</v>
      </c>
    </row>
    <row r="963" spans="1:6" x14ac:dyDescent="0.35">
      <c r="A963" t="s">
        <v>862</v>
      </c>
      <c r="B963" t="s">
        <v>720</v>
      </c>
      <c r="C963">
        <f>1 * 3.6 / 50.285</f>
        <v>7.1591926021676452E-2</v>
      </c>
      <c r="D963" t="s">
        <v>721</v>
      </c>
      <c r="E963" t="s">
        <v>723</v>
      </c>
      <c r="F963" t="s">
        <v>769</v>
      </c>
    </row>
    <row r="964" spans="1:6" x14ac:dyDescent="0.35">
      <c r="A964" t="s">
        <v>579</v>
      </c>
      <c r="B964" t="s">
        <v>720</v>
      </c>
      <c r="C964">
        <f>1/(9.06*0.95)</f>
        <v>0.11618450098756827</v>
      </c>
      <c r="D964" t="s">
        <v>721</v>
      </c>
      <c r="E964" t="s">
        <v>723</v>
      </c>
      <c r="F964" t="s">
        <v>823</v>
      </c>
    </row>
    <row r="965" spans="1:6" x14ac:dyDescent="0.35">
      <c r="A965" t="s">
        <v>580</v>
      </c>
      <c r="B965" t="s">
        <v>720</v>
      </c>
      <c r="C965">
        <f>1/3.6</f>
        <v>0.27777777777777779</v>
      </c>
      <c r="D965" t="s">
        <v>723</v>
      </c>
      <c r="E965" t="s">
        <v>727</v>
      </c>
    </row>
    <row r="966" spans="1:6" x14ac:dyDescent="0.35">
      <c r="A966" t="s">
        <v>580</v>
      </c>
      <c r="B966" t="s">
        <v>720</v>
      </c>
      <c r="C966">
        <f>3.6</f>
        <v>3.6</v>
      </c>
      <c r="D966" t="s">
        <v>727</v>
      </c>
      <c r="E966" t="s">
        <v>723</v>
      </c>
    </row>
    <row r="967" spans="1:6" x14ac:dyDescent="0.35">
      <c r="A967" t="s">
        <v>581</v>
      </c>
      <c r="B967" t="s">
        <v>720</v>
      </c>
      <c r="C967">
        <f>1/10.83</f>
        <v>9.2336103416435819E-2</v>
      </c>
      <c r="D967" t="s">
        <v>721</v>
      </c>
      <c r="E967" t="s">
        <v>723</v>
      </c>
      <c r="F967" t="s">
        <v>824</v>
      </c>
    </row>
    <row r="968" spans="1:6" x14ac:dyDescent="0.35">
      <c r="A968" t="s">
        <v>582</v>
      </c>
      <c r="B968" t="s">
        <v>720</v>
      </c>
      <c r="C968">
        <f>1 / (33.3)</f>
        <v>3.0030030030030033E-2</v>
      </c>
      <c r="D968" t="s">
        <v>721</v>
      </c>
      <c r="E968" t="s">
        <v>723</v>
      </c>
      <c r="F968" t="s">
        <v>778</v>
      </c>
    </row>
    <row r="969" spans="1:6" x14ac:dyDescent="0.35">
      <c r="A969" t="s">
        <v>583</v>
      </c>
      <c r="B969" t="s">
        <v>720</v>
      </c>
      <c r="C969">
        <f>1/11.94</f>
        <v>8.3752093802345065E-2</v>
      </c>
      <c r="D969" t="s">
        <v>721</v>
      </c>
      <c r="E969" t="s">
        <v>723</v>
      </c>
      <c r="F969" t="s">
        <v>825</v>
      </c>
    </row>
    <row r="970" spans="1:6" x14ac:dyDescent="0.35">
      <c r="A970" t="s">
        <v>584</v>
      </c>
      <c r="B970" t="s">
        <v>720</v>
      </c>
      <c r="C970">
        <f>1/11.28</f>
        <v>8.8652482269503549E-2</v>
      </c>
      <c r="D970" t="s">
        <v>721</v>
      </c>
      <c r="E970" t="s">
        <v>723</v>
      </c>
      <c r="F970" t="s">
        <v>826</v>
      </c>
    </row>
    <row r="971" spans="1:6" x14ac:dyDescent="0.35">
      <c r="A971" t="s">
        <v>585</v>
      </c>
      <c r="B971" t="s">
        <v>720</v>
      </c>
      <c r="C971">
        <f>1/(3.89*0.95)</f>
        <v>0.27059937762143149</v>
      </c>
      <c r="D971" t="s">
        <v>721</v>
      </c>
      <c r="E971" t="s">
        <v>723</v>
      </c>
      <c r="F971" t="s">
        <v>827</v>
      </c>
    </row>
    <row r="972" spans="1:6" x14ac:dyDescent="0.35">
      <c r="A972" t="s">
        <v>1038</v>
      </c>
      <c r="B972" t="s">
        <v>720</v>
      </c>
      <c r="C972">
        <f>3.6/19</f>
        <v>0.18947368421052632</v>
      </c>
      <c r="D972" t="s">
        <v>721</v>
      </c>
      <c r="E972" t="s">
        <v>723</v>
      </c>
      <c r="F972" t="s">
        <v>1016</v>
      </c>
    </row>
    <row r="973" spans="1:6" x14ac:dyDescent="0.35">
      <c r="A973" t="s">
        <v>586</v>
      </c>
      <c r="B973" t="s">
        <v>720</v>
      </c>
      <c r="C973">
        <f>1/(15*0.95/3.6)</f>
        <v>0.25263157894736843</v>
      </c>
      <c r="D973" t="s">
        <v>721</v>
      </c>
      <c r="E973" t="s">
        <v>723</v>
      </c>
      <c r="F973" t="s">
        <v>828</v>
      </c>
    </row>
    <row r="974" spans="1:6" x14ac:dyDescent="0.35">
      <c r="A974" t="s">
        <v>859</v>
      </c>
      <c r="B974" t="s">
        <v>720</v>
      </c>
      <c r="C974">
        <f>1 / 5.54</f>
        <v>0.18050541516245489</v>
      </c>
      <c r="D974" t="s">
        <v>721</v>
      </c>
      <c r="E974" t="s">
        <v>723</v>
      </c>
      <c r="F974" t="s">
        <v>789</v>
      </c>
    </row>
    <row r="975" spans="1:6" x14ac:dyDescent="0.35">
      <c r="A975" t="s">
        <v>587</v>
      </c>
      <c r="B975" t="s">
        <v>720</v>
      </c>
      <c r="C975">
        <f>1/0.777</f>
        <v>1.287001287001287</v>
      </c>
      <c r="D975" t="s">
        <v>724</v>
      </c>
      <c r="E975" t="s">
        <v>721</v>
      </c>
      <c r="F975" t="s">
        <v>820</v>
      </c>
    </row>
    <row r="976" spans="1:6" x14ac:dyDescent="0.35">
      <c r="A976" t="s">
        <v>587</v>
      </c>
      <c r="B976" t="s">
        <v>720</v>
      </c>
      <c r="C976">
        <f>1 / (13.1*0.777)</f>
        <v>9.8244373053533368E-2</v>
      </c>
      <c r="D976" t="s">
        <v>724</v>
      </c>
      <c r="E976" t="s">
        <v>723</v>
      </c>
      <c r="F976" t="s">
        <v>829</v>
      </c>
    </row>
    <row r="977" spans="1:6" x14ac:dyDescent="0.35">
      <c r="A977" t="s">
        <v>587</v>
      </c>
      <c r="B977" t="s">
        <v>720</v>
      </c>
      <c r="C977">
        <f>1 / (13.1)</f>
        <v>7.6335877862595422E-2</v>
      </c>
      <c r="D977" t="s">
        <v>721</v>
      </c>
      <c r="E977" t="s">
        <v>723</v>
      </c>
      <c r="F977" t="s">
        <v>787</v>
      </c>
    </row>
    <row r="978" spans="1:6" x14ac:dyDescent="0.35">
      <c r="A978" t="s">
        <v>587</v>
      </c>
      <c r="B978" t="s">
        <v>720</v>
      </c>
      <c r="C978">
        <f>0.777</f>
        <v>0.77700000000000002</v>
      </c>
      <c r="D978" t="s">
        <v>721</v>
      </c>
      <c r="E978" t="s">
        <v>724</v>
      </c>
      <c r="F978" t="s">
        <v>820</v>
      </c>
    </row>
    <row r="979" spans="1:6" x14ac:dyDescent="0.35">
      <c r="A979" t="s">
        <v>588</v>
      </c>
      <c r="B979" t="s">
        <v>720</v>
      </c>
      <c r="C979">
        <f>1/(3900*1000/3.6)</f>
        <v>9.2307692307692312E-7</v>
      </c>
      <c r="D979" t="s">
        <v>721</v>
      </c>
      <c r="E979" t="s">
        <v>723</v>
      </c>
      <c r="F979" t="s">
        <v>813</v>
      </c>
    </row>
    <row r="980" spans="1:6" x14ac:dyDescent="0.35">
      <c r="A980" t="s">
        <v>589</v>
      </c>
      <c r="B980" t="s">
        <v>720</v>
      </c>
      <c r="C980">
        <f>1 / 12.06</f>
        <v>8.2918739635157543E-2</v>
      </c>
      <c r="D980" t="s">
        <v>721</v>
      </c>
      <c r="E980" t="s">
        <v>723</v>
      </c>
      <c r="F980" t="s">
        <v>830</v>
      </c>
    </row>
    <row r="981" spans="1:6" x14ac:dyDescent="0.35">
      <c r="A981" t="s">
        <v>860</v>
      </c>
      <c r="B981" t="s">
        <v>720</v>
      </c>
      <c r="C981">
        <f>1 * 3.6 / 45.799</f>
        <v>7.8604336339221384E-2</v>
      </c>
      <c r="D981" t="s">
        <v>721</v>
      </c>
      <c r="E981" t="s">
        <v>723</v>
      </c>
      <c r="F981" t="s">
        <v>804</v>
      </c>
    </row>
    <row r="982" spans="1:6" x14ac:dyDescent="0.35">
      <c r="A982" t="s">
        <v>590</v>
      </c>
      <c r="B982" t="s">
        <v>720</v>
      </c>
      <c r="C982">
        <f>1/0.47</f>
        <v>2.1276595744680851</v>
      </c>
      <c r="D982" t="s">
        <v>724</v>
      </c>
      <c r="E982" t="s">
        <v>721</v>
      </c>
      <c r="F982" t="s">
        <v>831</v>
      </c>
    </row>
    <row r="983" spans="1:6" x14ac:dyDescent="0.35">
      <c r="A983" t="s">
        <v>590</v>
      </c>
      <c r="B983" t="s">
        <v>720</v>
      </c>
      <c r="C983">
        <f>0.47</f>
        <v>0.47</v>
      </c>
      <c r="D983" t="s">
        <v>721</v>
      </c>
      <c r="E983" t="s">
        <v>724</v>
      </c>
      <c r="F983" t="s">
        <v>831</v>
      </c>
    </row>
    <row r="984" spans="1:6" x14ac:dyDescent="0.35">
      <c r="A984" t="s">
        <v>858</v>
      </c>
      <c r="B984" t="s">
        <v>720</v>
      </c>
      <c r="C984">
        <f>3.6/5.4</f>
        <v>0.66666666666666663</v>
      </c>
      <c r="D984" t="s">
        <v>724</v>
      </c>
      <c r="E984" t="s">
        <v>723</v>
      </c>
      <c r="F984" t="s">
        <v>863</v>
      </c>
    </row>
    <row r="985" spans="1:6" x14ac:dyDescent="0.35">
      <c r="A985" t="s">
        <v>591</v>
      </c>
      <c r="B985" t="s">
        <v>720</v>
      </c>
      <c r="C985">
        <f>1/4.28</f>
        <v>0.23364485981308411</v>
      </c>
      <c r="D985" t="s">
        <v>721</v>
      </c>
      <c r="E985" t="s">
        <v>723</v>
      </c>
      <c r="F985" t="s">
        <v>821</v>
      </c>
    </row>
    <row r="986" spans="1:6" x14ac:dyDescent="0.35">
      <c r="A986" t="s">
        <v>592</v>
      </c>
      <c r="B986" t="s">
        <v>720</v>
      </c>
      <c r="C986">
        <f>1/4.28</f>
        <v>0.23364485981308411</v>
      </c>
      <c r="D986" t="s">
        <v>721</v>
      </c>
      <c r="E986" t="s">
        <v>723</v>
      </c>
      <c r="F986" t="s">
        <v>821</v>
      </c>
    </row>
    <row r="987" spans="1:6" x14ac:dyDescent="0.35">
      <c r="A987" t="s">
        <v>593</v>
      </c>
      <c r="B987" t="s">
        <v>720</v>
      </c>
      <c r="C987">
        <f>1/4.28</f>
        <v>0.23364485981308411</v>
      </c>
      <c r="D987" t="s">
        <v>721</v>
      </c>
      <c r="E987" t="s">
        <v>723</v>
      </c>
      <c r="F987" t="s">
        <v>821</v>
      </c>
    </row>
    <row r="988" spans="1:6" x14ac:dyDescent="0.35">
      <c r="A988" t="s">
        <v>594</v>
      </c>
      <c r="B988" t="s">
        <v>718</v>
      </c>
      <c r="C988">
        <f>1 * 8760 * 0.297 / (13 * 50000)</f>
        <v>4.0026461538461532E-3</v>
      </c>
      <c r="D988" t="s">
        <v>722</v>
      </c>
      <c r="E988" t="s">
        <v>732</v>
      </c>
      <c r="F988" t="s">
        <v>745</v>
      </c>
    </row>
    <row r="989" spans="1:6" x14ac:dyDescent="0.35">
      <c r="A989" t="s">
        <v>594</v>
      </c>
      <c r="B989" t="s">
        <v>719</v>
      </c>
      <c r="C989">
        <f>1</f>
        <v>1</v>
      </c>
      <c r="D989" t="s">
        <v>725</v>
      </c>
      <c r="E989" t="s">
        <v>725</v>
      </c>
    </row>
    <row r="990" spans="1:6" x14ac:dyDescent="0.35">
      <c r="A990" t="s">
        <v>595</v>
      </c>
      <c r="B990" t="s">
        <v>718</v>
      </c>
      <c r="C990">
        <f>1 * 8760 * 0.297 / (47 * 24000)</f>
        <v>2.3064893617021276E-3</v>
      </c>
      <c r="D990" t="s">
        <v>722</v>
      </c>
      <c r="E990" t="s">
        <v>732</v>
      </c>
      <c r="F990" t="s">
        <v>806</v>
      </c>
    </row>
    <row r="991" spans="1:6" x14ac:dyDescent="0.35">
      <c r="A991" t="s">
        <v>595</v>
      </c>
      <c r="B991" t="s">
        <v>719</v>
      </c>
      <c r="C991">
        <f>1</f>
        <v>1</v>
      </c>
      <c r="D991" t="s">
        <v>725</v>
      </c>
      <c r="E991" t="s">
        <v>725</v>
      </c>
    </row>
    <row r="992" spans="1:6" x14ac:dyDescent="0.35">
      <c r="A992" t="s">
        <v>596</v>
      </c>
      <c r="B992" t="s">
        <v>718</v>
      </c>
      <c r="C992">
        <f>1 * 8760 * 0.051 / (1.23 * 12000)</f>
        <v>3.0268292682926828E-2</v>
      </c>
      <c r="D992" t="s">
        <v>722</v>
      </c>
      <c r="E992" t="s">
        <v>732</v>
      </c>
      <c r="F992" t="s">
        <v>746</v>
      </c>
    </row>
    <row r="993" spans="1:6" x14ac:dyDescent="0.35">
      <c r="A993" t="s">
        <v>596</v>
      </c>
      <c r="B993" t="s">
        <v>719</v>
      </c>
      <c r="C993">
        <f>1/1.23</f>
        <v>0.81300813008130079</v>
      </c>
      <c r="D993" t="s">
        <v>726</v>
      </c>
      <c r="E993" t="s">
        <v>725</v>
      </c>
      <c r="F993" t="s">
        <v>879</v>
      </c>
    </row>
    <row r="994" spans="1:6" x14ac:dyDescent="0.35">
      <c r="A994" t="s">
        <v>597</v>
      </c>
      <c r="B994" t="s">
        <v>718</v>
      </c>
      <c r="C994">
        <f>1 * 8760 * 0.051 / (1.23 * 12000)</f>
        <v>3.0268292682926828E-2</v>
      </c>
      <c r="D994" t="s">
        <v>722</v>
      </c>
      <c r="E994" t="s">
        <v>732</v>
      </c>
      <c r="F994" t="s">
        <v>746</v>
      </c>
    </row>
    <row r="995" spans="1:6" x14ac:dyDescent="0.35">
      <c r="A995" t="s">
        <v>597</v>
      </c>
      <c r="B995" t="s">
        <v>719</v>
      </c>
      <c r="C995">
        <f>1/1.23</f>
        <v>0.81300813008130079</v>
      </c>
      <c r="D995" t="s">
        <v>726</v>
      </c>
      <c r="E995" t="s">
        <v>725</v>
      </c>
      <c r="F995" t="s">
        <v>879</v>
      </c>
    </row>
    <row r="996" spans="1:6" x14ac:dyDescent="0.35">
      <c r="A996" t="s">
        <v>598</v>
      </c>
      <c r="B996" t="s">
        <v>718</v>
      </c>
      <c r="C996">
        <f>1 * 8760 * 0.051 / (1.23 * 12000)</f>
        <v>3.0268292682926828E-2</v>
      </c>
      <c r="D996" t="s">
        <v>722</v>
      </c>
      <c r="E996" t="s">
        <v>732</v>
      </c>
      <c r="F996" t="s">
        <v>746</v>
      </c>
    </row>
    <row r="997" spans="1:6" x14ac:dyDescent="0.35">
      <c r="A997" t="s">
        <v>598</v>
      </c>
      <c r="B997" t="s">
        <v>719</v>
      </c>
      <c r="C997">
        <f>1/1.23</f>
        <v>0.81300813008130079</v>
      </c>
      <c r="D997" t="s">
        <v>726</v>
      </c>
      <c r="E997" t="s">
        <v>725</v>
      </c>
      <c r="F997" t="s">
        <v>879</v>
      </c>
    </row>
    <row r="998" spans="1:6" x14ac:dyDescent="0.35">
      <c r="A998" t="s">
        <v>599</v>
      </c>
      <c r="B998" t="s">
        <v>718</v>
      </c>
      <c r="C998">
        <f>1 * 8760 * 0.051 / (1.23 * 12000)</f>
        <v>3.0268292682926828E-2</v>
      </c>
      <c r="D998" t="s">
        <v>722</v>
      </c>
      <c r="E998" t="s">
        <v>732</v>
      </c>
      <c r="F998" t="s">
        <v>746</v>
      </c>
    </row>
    <row r="999" spans="1:6" x14ac:dyDescent="0.35">
      <c r="A999" t="s">
        <v>599</v>
      </c>
      <c r="B999" t="s">
        <v>719</v>
      </c>
      <c r="C999">
        <f>1/1.23</f>
        <v>0.81300813008130079</v>
      </c>
      <c r="D999" t="s">
        <v>726</v>
      </c>
      <c r="E999" t="s">
        <v>725</v>
      </c>
      <c r="F999" t="s">
        <v>879</v>
      </c>
    </row>
    <row r="1000" spans="1:6" x14ac:dyDescent="0.35">
      <c r="A1000" t="s">
        <v>600</v>
      </c>
      <c r="B1000" t="s">
        <v>718</v>
      </c>
      <c r="C1000">
        <f>1 * 8760 * 0.051 / (1.23 * 12000)</f>
        <v>3.0268292682926828E-2</v>
      </c>
      <c r="D1000" t="s">
        <v>722</v>
      </c>
      <c r="E1000" t="s">
        <v>732</v>
      </c>
      <c r="F1000" t="s">
        <v>746</v>
      </c>
    </row>
    <row r="1001" spans="1:6" x14ac:dyDescent="0.35">
      <c r="A1001" t="s">
        <v>600</v>
      </c>
      <c r="B1001" t="s">
        <v>719</v>
      </c>
      <c r="C1001">
        <f>1/1.23</f>
        <v>0.81300813008130079</v>
      </c>
      <c r="D1001" t="s">
        <v>726</v>
      </c>
      <c r="E1001" t="s">
        <v>725</v>
      </c>
      <c r="F1001" t="s">
        <v>879</v>
      </c>
    </row>
    <row r="1002" spans="1:6" x14ac:dyDescent="0.35">
      <c r="A1002" t="s">
        <v>601</v>
      </c>
      <c r="B1002" t="s">
        <v>718</v>
      </c>
      <c r="C1002">
        <f>1 * 8760 * 0.051 / (1.23 * 12000)</f>
        <v>3.0268292682926828E-2</v>
      </c>
      <c r="D1002" t="s">
        <v>722</v>
      </c>
      <c r="E1002" t="s">
        <v>732</v>
      </c>
      <c r="F1002" t="s">
        <v>746</v>
      </c>
    </row>
    <row r="1003" spans="1:6" x14ac:dyDescent="0.35">
      <c r="A1003" t="s">
        <v>601</v>
      </c>
      <c r="B1003" t="s">
        <v>719</v>
      </c>
      <c r="C1003">
        <f>1/1.23</f>
        <v>0.81300813008130079</v>
      </c>
      <c r="D1003" t="s">
        <v>726</v>
      </c>
      <c r="E1003" t="s">
        <v>725</v>
      </c>
      <c r="F1003" t="s">
        <v>879</v>
      </c>
    </row>
    <row r="1004" spans="1:6" x14ac:dyDescent="0.35">
      <c r="A1004" t="s">
        <v>602</v>
      </c>
      <c r="B1004" t="s">
        <v>718</v>
      </c>
      <c r="C1004">
        <f>1 * 8760 * 0.051 / (1.23 * 12000)</f>
        <v>3.0268292682926828E-2</v>
      </c>
      <c r="D1004" t="s">
        <v>722</v>
      </c>
      <c r="E1004" t="s">
        <v>732</v>
      </c>
      <c r="F1004" t="s">
        <v>746</v>
      </c>
    </row>
    <row r="1005" spans="1:6" x14ac:dyDescent="0.35">
      <c r="A1005" t="s">
        <v>602</v>
      </c>
      <c r="B1005" t="s">
        <v>719</v>
      </c>
      <c r="C1005">
        <f>1/1.23</f>
        <v>0.81300813008130079</v>
      </c>
      <c r="D1005" t="s">
        <v>726</v>
      </c>
      <c r="E1005" t="s">
        <v>725</v>
      </c>
      <c r="F1005" t="s">
        <v>879</v>
      </c>
    </row>
    <row r="1006" spans="1:6" x14ac:dyDescent="0.35">
      <c r="A1006" t="s">
        <v>603</v>
      </c>
      <c r="B1006" t="s">
        <v>718</v>
      </c>
      <c r="C1006">
        <f>1 * 8760 * 0.051 / (1.23 * 12000)</f>
        <v>3.0268292682926828E-2</v>
      </c>
      <c r="D1006" t="s">
        <v>722</v>
      </c>
      <c r="E1006" t="s">
        <v>732</v>
      </c>
      <c r="F1006" t="s">
        <v>746</v>
      </c>
    </row>
    <row r="1007" spans="1:6" x14ac:dyDescent="0.35">
      <c r="A1007" t="s">
        <v>603</v>
      </c>
      <c r="B1007" t="s">
        <v>719</v>
      </c>
      <c r="C1007">
        <f>1/1.23</f>
        <v>0.81300813008130079</v>
      </c>
      <c r="D1007" t="s">
        <v>726</v>
      </c>
      <c r="E1007" t="s">
        <v>725</v>
      </c>
      <c r="F1007" t="s">
        <v>879</v>
      </c>
    </row>
    <row r="1008" spans="1:6" x14ac:dyDescent="0.35">
      <c r="A1008" t="s">
        <v>604</v>
      </c>
      <c r="B1008" t="s">
        <v>718</v>
      </c>
      <c r="C1008">
        <f>1 * 8760 * 0.051 / (1.23 * 12000)</f>
        <v>3.0268292682926828E-2</v>
      </c>
      <c r="D1008" t="s">
        <v>722</v>
      </c>
      <c r="E1008" t="s">
        <v>732</v>
      </c>
      <c r="F1008" t="s">
        <v>746</v>
      </c>
    </row>
    <row r="1009" spans="1:6" x14ac:dyDescent="0.35">
      <c r="A1009" t="s">
        <v>604</v>
      </c>
      <c r="B1009" t="s">
        <v>719</v>
      </c>
      <c r="C1009">
        <f>1/1.23</f>
        <v>0.81300813008130079</v>
      </c>
      <c r="D1009" t="s">
        <v>726</v>
      </c>
      <c r="E1009" t="s">
        <v>725</v>
      </c>
      <c r="F1009" t="s">
        <v>879</v>
      </c>
    </row>
    <row r="1010" spans="1:6" x14ac:dyDescent="0.35">
      <c r="A1010" t="s">
        <v>605</v>
      </c>
      <c r="B1010" t="s">
        <v>718</v>
      </c>
      <c r="C1010">
        <f>1 * 8760 * 0.051 / (1.23 * 12000)</f>
        <v>3.0268292682926828E-2</v>
      </c>
      <c r="D1010" t="s">
        <v>722</v>
      </c>
      <c r="E1010" t="s">
        <v>732</v>
      </c>
      <c r="F1010" t="s">
        <v>746</v>
      </c>
    </row>
    <row r="1011" spans="1:6" x14ac:dyDescent="0.35">
      <c r="A1011" t="s">
        <v>605</v>
      </c>
      <c r="B1011" t="s">
        <v>719</v>
      </c>
      <c r="C1011">
        <f>1/1.23</f>
        <v>0.81300813008130079</v>
      </c>
      <c r="D1011" t="s">
        <v>726</v>
      </c>
      <c r="E1011" t="s">
        <v>725</v>
      </c>
      <c r="F1011" t="s">
        <v>879</v>
      </c>
    </row>
    <row r="1012" spans="1:6" x14ac:dyDescent="0.35">
      <c r="A1012" t="s">
        <v>606</v>
      </c>
      <c r="B1012" t="s">
        <v>718</v>
      </c>
      <c r="C1012">
        <f>1 * 8760 * 0.051 / (1.23 * 12000)</f>
        <v>3.0268292682926828E-2</v>
      </c>
      <c r="D1012" t="s">
        <v>722</v>
      </c>
      <c r="E1012" t="s">
        <v>732</v>
      </c>
      <c r="F1012" t="s">
        <v>746</v>
      </c>
    </row>
    <row r="1013" spans="1:6" x14ac:dyDescent="0.35">
      <c r="A1013" t="s">
        <v>606</v>
      </c>
      <c r="B1013" t="s">
        <v>719</v>
      </c>
      <c r="C1013">
        <f>1/1.23</f>
        <v>0.81300813008130079</v>
      </c>
      <c r="D1013" t="s">
        <v>726</v>
      </c>
      <c r="E1013" t="s">
        <v>725</v>
      </c>
      <c r="F1013" t="s">
        <v>879</v>
      </c>
    </row>
    <row r="1014" spans="1:6" x14ac:dyDescent="0.35">
      <c r="A1014" t="s">
        <v>607</v>
      </c>
      <c r="B1014" t="s">
        <v>718</v>
      </c>
      <c r="C1014">
        <f>1 * 8760 * 0.051 / (1.23 * 12000)</f>
        <v>3.0268292682926828E-2</v>
      </c>
      <c r="D1014" t="s">
        <v>722</v>
      </c>
      <c r="E1014" t="s">
        <v>732</v>
      </c>
      <c r="F1014" t="s">
        <v>746</v>
      </c>
    </row>
    <row r="1015" spans="1:6" x14ac:dyDescent="0.35">
      <c r="A1015" t="s">
        <v>607</v>
      </c>
      <c r="B1015" t="s">
        <v>719</v>
      </c>
      <c r="C1015">
        <f>1/1.23</f>
        <v>0.81300813008130079</v>
      </c>
      <c r="D1015" t="s">
        <v>726</v>
      </c>
      <c r="E1015" t="s">
        <v>725</v>
      </c>
      <c r="F1015" t="s">
        <v>879</v>
      </c>
    </row>
    <row r="1016" spans="1:6" x14ac:dyDescent="0.35">
      <c r="A1016" t="s">
        <v>608</v>
      </c>
      <c r="B1016" t="s">
        <v>718</v>
      </c>
      <c r="C1016">
        <f>1 * 8760 * 0.051 / (1.23 * 12000)</f>
        <v>3.0268292682926828E-2</v>
      </c>
      <c r="D1016" t="s">
        <v>722</v>
      </c>
      <c r="E1016" t="s">
        <v>732</v>
      </c>
      <c r="F1016" t="s">
        <v>746</v>
      </c>
    </row>
    <row r="1017" spans="1:6" x14ac:dyDescent="0.35">
      <c r="A1017" t="s">
        <v>608</v>
      </c>
      <c r="B1017" t="s">
        <v>719</v>
      </c>
      <c r="C1017">
        <f>1/1.23</f>
        <v>0.81300813008130079</v>
      </c>
      <c r="D1017" t="s">
        <v>726</v>
      </c>
      <c r="E1017" t="s">
        <v>725</v>
      </c>
      <c r="F1017" t="s">
        <v>879</v>
      </c>
    </row>
    <row r="1018" spans="1:6" x14ac:dyDescent="0.35">
      <c r="A1018" t="s">
        <v>609</v>
      </c>
      <c r="B1018" t="s">
        <v>718</v>
      </c>
      <c r="C1018">
        <f>1 * 8760 * 0.051 / (1.23 * 12000)</f>
        <v>3.0268292682926828E-2</v>
      </c>
      <c r="D1018" t="s">
        <v>722</v>
      </c>
      <c r="E1018" t="s">
        <v>732</v>
      </c>
      <c r="F1018" t="s">
        <v>746</v>
      </c>
    </row>
    <row r="1019" spans="1:6" x14ac:dyDescent="0.35">
      <c r="A1019" t="s">
        <v>609</v>
      </c>
      <c r="B1019" t="s">
        <v>719</v>
      </c>
      <c r="C1019">
        <f>1/1.23</f>
        <v>0.81300813008130079</v>
      </c>
      <c r="D1019" t="s">
        <v>726</v>
      </c>
      <c r="E1019" t="s">
        <v>725</v>
      </c>
      <c r="F1019" t="s">
        <v>879</v>
      </c>
    </row>
    <row r="1020" spans="1:6" x14ac:dyDescent="0.35">
      <c r="A1020" t="s">
        <v>610</v>
      </c>
      <c r="B1020" t="s">
        <v>718</v>
      </c>
      <c r="C1020">
        <f>1 * 8760 * 0.051 / (1.23 * 12000)</f>
        <v>3.0268292682926828E-2</v>
      </c>
      <c r="D1020" t="s">
        <v>722</v>
      </c>
      <c r="E1020" t="s">
        <v>732</v>
      </c>
      <c r="F1020" t="s">
        <v>746</v>
      </c>
    </row>
    <row r="1021" spans="1:6" x14ac:dyDescent="0.35">
      <c r="A1021" t="s">
        <v>610</v>
      </c>
      <c r="B1021" t="s">
        <v>719</v>
      </c>
      <c r="C1021">
        <f>1/1.23</f>
        <v>0.81300813008130079</v>
      </c>
      <c r="D1021" t="s">
        <v>726</v>
      </c>
      <c r="E1021" t="s">
        <v>725</v>
      </c>
      <c r="F1021" t="s">
        <v>879</v>
      </c>
    </row>
    <row r="1022" spans="1:6" x14ac:dyDescent="0.35">
      <c r="A1022" t="s">
        <v>611</v>
      </c>
      <c r="B1022" t="s">
        <v>718</v>
      </c>
      <c r="C1022">
        <f>1 * 8760 * 0.051 / (1.23 * 12000)</f>
        <v>3.0268292682926828E-2</v>
      </c>
      <c r="D1022" t="s">
        <v>722</v>
      </c>
      <c r="E1022" t="s">
        <v>732</v>
      </c>
      <c r="F1022" t="s">
        <v>746</v>
      </c>
    </row>
    <row r="1023" spans="1:6" x14ac:dyDescent="0.35">
      <c r="A1023" t="s">
        <v>611</v>
      </c>
      <c r="B1023" t="s">
        <v>719</v>
      </c>
      <c r="C1023">
        <f>1/1.23</f>
        <v>0.81300813008130079</v>
      </c>
      <c r="D1023" t="s">
        <v>726</v>
      </c>
      <c r="E1023" t="s">
        <v>725</v>
      </c>
      <c r="F1023" t="s">
        <v>879</v>
      </c>
    </row>
    <row r="1024" spans="1:6" x14ac:dyDescent="0.35">
      <c r="A1024" t="s">
        <v>612</v>
      </c>
      <c r="B1024" t="s">
        <v>718</v>
      </c>
      <c r="C1024">
        <f>1/400 / 1000</f>
        <v>2.5000000000000002E-6</v>
      </c>
      <c r="D1024" t="s">
        <v>722</v>
      </c>
      <c r="E1024" t="s">
        <v>730</v>
      </c>
      <c r="F1024" t="s">
        <v>923</v>
      </c>
    </row>
    <row r="1025" spans="1:6" x14ac:dyDescent="0.35">
      <c r="A1025" t="s">
        <v>612</v>
      </c>
      <c r="B1025" t="s">
        <v>719</v>
      </c>
      <c r="C1025">
        <f>1</f>
        <v>1</v>
      </c>
      <c r="D1025" t="s">
        <v>723</v>
      </c>
      <c r="E1025" t="s">
        <v>723</v>
      </c>
    </row>
    <row r="1026" spans="1:6" x14ac:dyDescent="0.35">
      <c r="A1026" t="s">
        <v>613</v>
      </c>
      <c r="B1026" t="s">
        <v>718</v>
      </c>
      <c r="C1026">
        <f>1/400 / 1000</f>
        <v>2.5000000000000002E-6</v>
      </c>
      <c r="D1026" t="s">
        <v>722</v>
      </c>
      <c r="E1026" t="s">
        <v>730</v>
      </c>
      <c r="F1026" t="s">
        <v>923</v>
      </c>
    </row>
    <row r="1027" spans="1:6" x14ac:dyDescent="0.35">
      <c r="A1027" t="s">
        <v>613</v>
      </c>
      <c r="B1027" t="s">
        <v>719</v>
      </c>
      <c r="C1027">
        <f>1</f>
        <v>1</v>
      </c>
      <c r="D1027" t="s">
        <v>723</v>
      </c>
      <c r="E1027" t="s">
        <v>723</v>
      </c>
    </row>
    <row r="1028" spans="1:6" x14ac:dyDescent="0.35">
      <c r="A1028" t="s">
        <v>614</v>
      </c>
      <c r="B1028" t="s">
        <v>718</v>
      </c>
      <c r="C1028">
        <f>1 * 8760 * 0.297 / (21 * 50000)</f>
        <v>2.4778285714285712E-3</v>
      </c>
      <c r="D1028" t="s">
        <v>722</v>
      </c>
      <c r="E1028" t="s">
        <v>732</v>
      </c>
      <c r="F1028" t="s">
        <v>752</v>
      </c>
    </row>
    <row r="1029" spans="1:6" x14ac:dyDescent="0.35">
      <c r="A1029" t="s">
        <v>614</v>
      </c>
      <c r="B1029" t="s">
        <v>719</v>
      </c>
      <c r="C1029">
        <f>1</f>
        <v>1</v>
      </c>
      <c r="D1029" t="s">
        <v>725</v>
      </c>
      <c r="E1029" t="s">
        <v>725</v>
      </c>
    </row>
    <row r="1030" spans="1:6" x14ac:dyDescent="0.35">
      <c r="A1030" t="s">
        <v>615</v>
      </c>
      <c r="B1030" t="s">
        <v>718</v>
      </c>
      <c r="C1030">
        <f>1 * 8760 * 0.297 / (21 * 50000)</f>
        <v>2.4778285714285712E-3</v>
      </c>
      <c r="D1030" t="s">
        <v>722</v>
      </c>
      <c r="E1030" t="s">
        <v>732</v>
      </c>
      <c r="F1030" t="s">
        <v>752</v>
      </c>
    </row>
    <row r="1031" spans="1:6" x14ac:dyDescent="0.35">
      <c r="A1031" t="s">
        <v>615</v>
      </c>
      <c r="B1031" t="s">
        <v>719</v>
      </c>
      <c r="C1031">
        <f>1</f>
        <v>1</v>
      </c>
      <c r="D1031" t="s">
        <v>725</v>
      </c>
      <c r="E1031" t="s">
        <v>725</v>
      </c>
    </row>
    <row r="1032" spans="1:6" x14ac:dyDescent="0.35">
      <c r="A1032" t="s">
        <v>616</v>
      </c>
      <c r="B1032" t="s">
        <v>718</v>
      </c>
      <c r="C1032">
        <f>1 * 8760 * 0.297 / (21 * 50000)</f>
        <v>2.4778285714285712E-3</v>
      </c>
      <c r="D1032" t="s">
        <v>722</v>
      </c>
      <c r="E1032" t="s">
        <v>732</v>
      </c>
      <c r="F1032" t="s">
        <v>752</v>
      </c>
    </row>
    <row r="1033" spans="1:6" x14ac:dyDescent="0.35">
      <c r="A1033" t="s">
        <v>616</v>
      </c>
      <c r="B1033" t="s">
        <v>719</v>
      </c>
      <c r="C1033">
        <f>1</f>
        <v>1</v>
      </c>
      <c r="D1033" t="s">
        <v>725</v>
      </c>
      <c r="E1033" t="s">
        <v>725</v>
      </c>
    </row>
    <row r="1034" spans="1:6" x14ac:dyDescent="0.35">
      <c r="A1034" t="s">
        <v>617</v>
      </c>
      <c r="B1034" t="s">
        <v>718</v>
      </c>
      <c r="C1034">
        <f>1 * 8760 * 0.297 / (21 * 50000)</f>
        <v>2.4778285714285712E-3</v>
      </c>
      <c r="D1034" t="s">
        <v>722</v>
      </c>
      <c r="E1034" t="s">
        <v>732</v>
      </c>
      <c r="F1034" t="s">
        <v>752</v>
      </c>
    </row>
    <row r="1035" spans="1:6" x14ac:dyDescent="0.35">
      <c r="A1035" t="s">
        <v>617</v>
      </c>
      <c r="B1035" t="s">
        <v>719</v>
      </c>
      <c r="C1035">
        <f>1</f>
        <v>1</v>
      </c>
      <c r="D1035" t="s">
        <v>725</v>
      </c>
      <c r="E1035" t="s">
        <v>725</v>
      </c>
    </row>
    <row r="1036" spans="1:6" x14ac:dyDescent="0.35">
      <c r="A1036" t="s">
        <v>618</v>
      </c>
      <c r="B1036" t="s">
        <v>718</v>
      </c>
      <c r="C1036">
        <f>1 * 8760 * 0.297 / (21 * 50000)</f>
        <v>2.4778285714285712E-3</v>
      </c>
      <c r="D1036" t="s">
        <v>722</v>
      </c>
      <c r="E1036" t="s">
        <v>732</v>
      </c>
      <c r="F1036" t="s">
        <v>752</v>
      </c>
    </row>
    <row r="1037" spans="1:6" x14ac:dyDescent="0.35">
      <c r="A1037" t="s">
        <v>618</v>
      </c>
      <c r="B1037" t="s">
        <v>719</v>
      </c>
      <c r="C1037">
        <f>1</f>
        <v>1</v>
      </c>
      <c r="D1037" t="s">
        <v>725</v>
      </c>
      <c r="E1037" t="s">
        <v>725</v>
      </c>
    </row>
    <row r="1038" spans="1:6" x14ac:dyDescent="0.35">
      <c r="A1038" t="s">
        <v>619</v>
      </c>
      <c r="B1038" t="s">
        <v>718</v>
      </c>
      <c r="C1038">
        <f>1 * 8760 * 0.297 / (21 * 50000)</f>
        <v>2.4778285714285712E-3</v>
      </c>
      <c r="D1038" t="s">
        <v>722</v>
      </c>
      <c r="E1038" t="s">
        <v>732</v>
      </c>
      <c r="F1038" t="s">
        <v>752</v>
      </c>
    </row>
    <row r="1039" spans="1:6" x14ac:dyDescent="0.35">
      <c r="A1039" t="s">
        <v>619</v>
      </c>
      <c r="B1039" t="s">
        <v>719</v>
      </c>
      <c r="C1039">
        <f>1</f>
        <v>1</v>
      </c>
      <c r="D1039" t="s">
        <v>725</v>
      </c>
      <c r="E1039" t="s">
        <v>725</v>
      </c>
    </row>
    <row r="1040" spans="1:6" x14ac:dyDescent="0.35">
      <c r="A1040" t="s">
        <v>620</v>
      </c>
      <c r="B1040" t="s">
        <v>718</v>
      </c>
      <c r="C1040">
        <f>1 / 10</f>
        <v>0.1</v>
      </c>
      <c r="D1040" t="s">
        <v>722</v>
      </c>
      <c r="E1040" t="s">
        <v>730</v>
      </c>
      <c r="F1040" t="s">
        <v>907</v>
      </c>
    </row>
    <row r="1041" spans="1:6" x14ac:dyDescent="0.35">
      <c r="A1041" t="s">
        <v>620</v>
      </c>
      <c r="B1041" t="s">
        <v>719</v>
      </c>
      <c r="C1041">
        <f>1 * 3.6</f>
        <v>3.6</v>
      </c>
      <c r="D1041" t="s">
        <v>727</v>
      </c>
      <c r="E1041" t="s">
        <v>723</v>
      </c>
    </row>
    <row r="1042" spans="1:6" x14ac:dyDescent="0.35">
      <c r="A1042" t="s">
        <v>621</v>
      </c>
      <c r="B1042" t="s">
        <v>718</v>
      </c>
      <c r="C1042">
        <f>1 / 10</f>
        <v>0.1</v>
      </c>
      <c r="D1042" t="s">
        <v>722</v>
      </c>
      <c r="E1042" t="s">
        <v>730</v>
      </c>
      <c r="F1042" t="s">
        <v>907</v>
      </c>
    </row>
    <row r="1043" spans="1:6" x14ac:dyDescent="0.35">
      <c r="A1043" t="s">
        <v>621</v>
      </c>
      <c r="B1043" t="s">
        <v>719</v>
      </c>
      <c r="C1043">
        <f>1 * 3.6</f>
        <v>3.6</v>
      </c>
      <c r="D1043" t="s">
        <v>727</v>
      </c>
      <c r="E1043" t="s">
        <v>723</v>
      </c>
    </row>
    <row r="1044" spans="1:6" x14ac:dyDescent="0.35">
      <c r="A1044" t="s">
        <v>622</v>
      </c>
      <c r="B1044" t="s">
        <v>718</v>
      </c>
      <c r="C1044">
        <v>1</v>
      </c>
      <c r="D1044" t="s">
        <v>722</v>
      </c>
      <c r="E1044" t="s">
        <v>722</v>
      </c>
    </row>
    <row r="1045" spans="1:6" x14ac:dyDescent="0.35">
      <c r="A1045" t="s">
        <v>623</v>
      </c>
      <c r="B1045" t="s">
        <v>718</v>
      </c>
      <c r="C1045">
        <f>0.00000044092/0.00000066138</f>
        <v>0.66666666666666663</v>
      </c>
      <c r="D1045" t="s">
        <v>722</v>
      </c>
      <c r="E1045" t="s">
        <v>722</v>
      </c>
      <c r="F1045" t="s">
        <v>754</v>
      </c>
    </row>
    <row r="1046" spans="1:6" x14ac:dyDescent="0.35">
      <c r="A1046" t="s">
        <v>624</v>
      </c>
      <c r="B1046" t="s">
        <v>718</v>
      </c>
      <c r="C1046">
        <f>0.96 / 50</f>
        <v>1.9199999999999998E-2</v>
      </c>
      <c r="D1046" t="s">
        <v>722</v>
      </c>
      <c r="E1046" t="s">
        <v>730</v>
      </c>
      <c r="F1046" t="s">
        <v>942</v>
      </c>
    </row>
    <row r="1047" spans="1:6" x14ac:dyDescent="0.35">
      <c r="A1047" t="s">
        <v>624</v>
      </c>
      <c r="B1047" t="s">
        <v>719</v>
      </c>
      <c r="C1047">
        <f>3.6/0.2278</f>
        <v>15.803336259877085</v>
      </c>
      <c r="D1047" t="s">
        <v>727</v>
      </c>
      <c r="E1047" t="s">
        <v>723</v>
      </c>
      <c r="F1047" t="s">
        <v>883</v>
      </c>
    </row>
    <row r="1048" spans="1:6" x14ac:dyDescent="0.35">
      <c r="A1048" t="s">
        <v>625</v>
      </c>
      <c r="B1048" t="s">
        <v>718</v>
      </c>
      <c r="C1048">
        <v>1</v>
      </c>
      <c r="D1048" t="s">
        <v>722</v>
      </c>
      <c r="E1048" t="s">
        <v>722</v>
      </c>
    </row>
    <row r="1049" spans="1:6" x14ac:dyDescent="0.35">
      <c r="A1049" t="s">
        <v>626</v>
      </c>
      <c r="B1049" t="s">
        <v>718</v>
      </c>
      <c r="C1049">
        <v>1</v>
      </c>
      <c r="D1049" t="s">
        <v>722</v>
      </c>
      <c r="E1049" t="s">
        <v>722</v>
      </c>
    </row>
    <row r="1050" spans="1:6" x14ac:dyDescent="0.35">
      <c r="A1050" t="s">
        <v>627</v>
      </c>
      <c r="B1050" t="s">
        <v>718</v>
      </c>
      <c r="C1050">
        <v>1</v>
      </c>
      <c r="D1050" t="s">
        <v>722</v>
      </c>
      <c r="E1050" t="s">
        <v>722</v>
      </c>
    </row>
    <row r="1051" spans="1:6" x14ac:dyDescent="0.35">
      <c r="A1051" t="s">
        <v>628</v>
      </c>
      <c r="B1051" t="s">
        <v>718</v>
      </c>
      <c r="C1051">
        <f>1/10</f>
        <v>0.1</v>
      </c>
      <c r="D1051" t="s">
        <v>722</v>
      </c>
      <c r="E1051" t="s">
        <v>730</v>
      </c>
      <c r="F1051" t="s">
        <v>957</v>
      </c>
    </row>
    <row r="1052" spans="1:6" x14ac:dyDescent="0.35">
      <c r="A1052" t="s">
        <v>628</v>
      </c>
      <c r="B1052" t="s">
        <v>719</v>
      </c>
      <c r="C1052">
        <f>1 * 3.6</f>
        <v>3.6</v>
      </c>
      <c r="D1052" t="s">
        <v>727</v>
      </c>
      <c r="E1052" t="s">
        <v>723</v>
      </c>
    </row>
    <row r="1053" spans="1:6" x14ac:dyDescent="0.35">
      <c r="A1053" t="s">
        <v>629</v>
      </c>
      <c r="B1053" t="s">
        <v>718</v>
      </c>
      <c r="C1053">
        <v>1</v>
      </c>
      <c r="D1053" t="s">
        <v>722</v>
      </c>
      <c r="E1053" t="s">
        <v>722</v>
      </c>
    </row>
    <row r="1054" spans="1:6" x14ac:dyDescent="0.35">
      <c r="A1054" t="s">
        <v>630</v>
      </c>
      <c r="B1054" t="s">
        <v>718</v>
      </c>
      <c r="C1054">
        <f>0.00000044092/0.00000066138</f>
        <v>0.66666666666666663</v>
      </c>
      <c r="D1054" t="s">
        <v>722</v>
      </c>
      <c r="E1054" t="s">
        <v>722</v>
      </c>
      <c r="F1054" t="s">
        <v>754</v>
      </c>
    </row>
    <row r="1055" spans="1:6" x14ac:dyDescent="0.35">
      <c r="A1055" t="s">
        <v>631</v>
      </c>
      <c r="B1055" t="s">
        <v>718</v>
      </c>
      <c r="C1055">
        <f>10/1000</f>
        <v>0.01</v>
      </c>
      <c r="D1055" t="s">
        <v>722</v>
      </c>
      <c r="E1055" t="s">
        <v>722</v>
      </c>
      <c r="F1055" t="s">
        <v>950</v>
      </c>
    </row>
    <row r="1056" spans="1:6" x14ac:dyDescent="0.35">
      <c r="A1056" t="s">
        <v>632</v>
      </c>
      <c r="B1056" t="s">
        <v>718</v>
      </c>
      <c r="C1056">
        <f>1 / 4</f>
        <v>0.25</v>
      </c>
      <c r="D1056" t="s">
        <v>722</v>
      </c>
      <c r="E1056" t="s">
        <v>730</v>
      </c>
      <c r="F1056" t="s">
        <v>943</v>
      </c>
    </row>
    <row r="1057" spans="1:6" x14ac:dyDescent="0.35">
      <c r="A1057" t="s">
        <v>632</v>
      </c>
      <c r="B1057" t="s">
        <v>719</v>
      </c>
      <c r="C1057">
        <f>1 * 3.6</f>
        <v>3.6</v>
      </c>
      <c r="D1057" t="s">
        <v>727</v>
      </c>
      <c r="E1057" t="s">
        <v>723</v>
      </c>
    </row>
    <row r="1058" spans="1:6" x14ac:dyDescent="0.35">
      <c r="A1058" t="s">
        <v>633</v>
      </c>
      <c r="B1058" t="s">
        <v>718</v>
      </c>
      <c r="C1058">
        <f>0.0000000641/0.000000601</f>
        <v>0.10665557404326122</v>
      </c>
      <c r="D1058" t="s">
        <v>722</v>
      </c>
      <c r="E1058" t="s">
        <v>722</v>
      </c>
      <c r="F1058" t="s">
        <v>757</v>
      </c>
    </row>
    <row r="1059" spans="1:6" x14ac:dyDescent="0.35">
      <c r="A1059" t="s">
        <v>634</v>
      </c>
      <c r="B1059" t="s">
        <v>718</v>
      </c>
      <c r="C1059">
        <v>1</v>
      </c>
      <c r="D1059" t="s">
        <v>722</v>
      </c>
      <c r="E1059" t="s">
        <v>722</v>
      </c>
    </row>
    <row r="1060" spans="1:6" x14ac:dyDescent="0.35">
      <c r="A1060" t="s">
        <v>635</v>
      </c>
      <c r="B1060" t="s">
        <v>718</v>
      </c>
      <c r="C1060">
        <f>(1 / 100) * 1.0417</f>
        <v>1.0417000000000001E-2</v>
      </c>
      <c r="D1060" t="s">
        <v>722</v>
      </c>
      <c r="E1060" t="s">
        <v>730</v>
      </c>
      <c r="F1060" t="s">
        <v>758</v>
      </c>
    </row>
    <row r="1061" spans="1:6" x14ac:dyDescent="0.35">
      <c r="A1061" t="s">
        <v>635</v>
      </c>
      <c r="B1061" t="s">
        <v>719</v>
      </c>
      <c r="C1061">
        <f>1 * 3.6</f>
        <v>3.6</v>
      </c>
      <c r="D1061" t="s">
        <v>727</v>
      </c>
      <c r="E1061" t="s">
        <v>723</v>
      </c>
    </row>
    <row r="1062" spans="1:6" x14ac:dyDescent="0.35">
      <c r="A1062" t="s">
        <v>636</v>
      </c>
      <c r="B1062" t="s">
        <v>718</v>
      </c>
      <c r="C1062">
        <f>1.0526/1000</f>
        <v>1.0525999999999999E-3</v>
      </c>
      <c r="D1062" t="s">
        <v>722</v>
      </c>
      <c r="E1062" t="s">
        <v>730</v>
      </c>
      <c r="F1062" t="s">
        <v>759</v>
      </c>
    </row>
    <row r="1063" spans="1:6" x14ac:dyDescent="0.35">
      <c r="A1063" t="s">
        <v>636</v>
      </c>
      <c r="B1063" t="s">
        <v>719</v>
      </c>
      <c r="C1063">
        <f>1 * 3.6</f>
        <v>3.6</v>
      </c>
      <c r="D1063" t="s">
        <v>727</v>
      </c>
      <c r="E1063" t="s">
        <v>723</v>
      </c>
    </row>
    <row r="1064" spans="1:6" x14ac:dyDescent="0.35">
      <c r="A1064" t="s">
        <v>637</v>
      </c>
      <c r="B1064" t="s">
        <v>718</v>
      </c>
      <c r="C1064">
        <v>1</v>
      </c>
      <c r="D1064" t="s">
        <v>722</v>
      </c>
      <c r="E1064" t="s">
        <v>722</v>
      </c>
    </row>
    <row r="1065" spans="1:6" x14ac:dyDescent="0.35">
      <c r="A1065" t="s">
        <v>638</v>
      </c>
      <c r="B1065" t="s">
        <v>718</v>
      </c>
      <c r="C1065">
        <f>3.89863157894737E-08/0.000000002924</f>
        <v>13.333213334293331</v>
      </c>
      <c r="D1065" t="s">
        <v>722</v>
      </c>
      <c r="E1065" t="s">
        <v>722</v>
      </c>
      <c r="F1065" t="s">
        <v>754</v>
      </c>
    </row>
    <row r="1066" spans="1:6" x14ac:dyDescent="0.35">
      <c r="A1066" t="s">
        <v>639</v>
      </c>
      <c r="B1066" t="s">
        <v>718</v>
      </c>
      <c r="C1066">
        <f>1 * 1.25 / 1000</f>
        <v>1.25E-3</v>
      </c>
      <c r="D1066" t="s">
        <v>722</v>
      </c>
      <c r="E1066" t="s">
        <v>730</v>
      </c>
      <c r="F1066" t="s">
        <v>944</v>
      </c>
    </row>
    <row r="1067" spans="1:6" x14ac:dyDescent="0.35">
      <c r="A1067" t="s">
        <v>639</v>
      </c>
      <c r="B1067" t="s">
        <v>719</v>
      </c>
      <c r="C1067">
        <f>3.6 / 0.1636</f>
        <v>22.004889975550125</v>
      </c>
      <c r="D1067" t="s">
        <v>727</v>
      </c>
      <c r="E1067" t="s">
        <v>723</v>
      </c>
      <c r="F1067" t="s">
        <v>884</v>
      </c>
    </row>
    <row r="1068" spans="1:6" x14ac:dyDescent="0.35">
      <c r="A1068" t="s">
        <v>640</v>
      </c>
      <c r="B1068" t="s">
        <v>718</v>
      </c>
      <c r="C1068">
        <v>1</v>
      </c>
      <c r="D1068" t="s">
        <v>722</v>
      </c>
      <c r="E1068" t="s">
        <v>722</v>
      </c>
    </row>
    <row r="1069" spans="1:6" x14ac:dyDescent="0.35">
      <c r="A1069" t="s">
        <v>641</v>
      </c>
      <c r="B1069" t="s">
        <v>718</v>
      </c>
      <c r="C1069">
        <v>1</v>
      </c>
      <c r="D1069" t="s">
        <v>722</v>
      </c>
      <c r="E1069" t="s">
        <v>722</v>
      </c>
    </row>
    <row r="1070" spans="1:6" x14ac:dyDescent="0.35">
      <c r="A1070" t="s">
        <v>642</v>
      </c>
      <c r="B1070" t="s">
        <v>718</v>
      </c>
      <c r="C1070">
        <v>1</v>
      </c>
      <c r="D1070" t="s">
        <v>722</v>
      </c>
      <c r="E1070" t="s">
        <v>722</v>
      </c>
    </row>
    <row r="1071" spans="1:6" x14ac:dyDescent="0.35">
      <c r="A1071" t="s">
        <v>643</v>
      </c>
      <c r="B1071" t="s">
        <v>718</v>
      </c>
      <c r="C1071">
        <f>3.6 * 8760 * 0.86 / (0.05 * 1000 * 43) / 1000000</f>
        <v>1.2614399999999999E-5</v>
      </c>
      <c r="D1071" t="s">
        <v>722</v>
      </c>
      <c r="E1071" t="s">
        <v>730</v>
      </c>
      <c r="F1071" t="s">
        <v>767</v>
      </c>
    </row>
    <row r="1072" spans="1:6" x14ac:dyDescent="0.35">
      <c r="A1072" t="s">
        <v>643</v>
      </c>
      <c r="B1072" t="s">
        <v>719</v>
      </c>
      <c r="C1072">
        <f>3.6 / 43</f>
        <v>8.3720930232558138E-2</v>
      </c>
      <c r="D1072" t="s">
        <v>721</v>
      </c>
      <c r="E1072" t="s">
        <v>723</v>
      </c>
      <c r="F1072" t="s">
        <v>782</v>
      </c>
    </row>
    <row r="1073" spans="1:6" x14ac:dyDescent="0.35">
      <c r="A1073" t="s">
        <v>644</v>
      </c>
      <c r="B1073" t="s">
        <v>718</v>
      </c>
      <c r="C1073">
        <f>1000/400000000</f>
        <v>2.5000000000000002E-6</v>
      </c>
      <c r="D1073" t="s">
        <v>722</v>
      </c>
      <c r="E1073" t="s">
        <v>730</v>
      </c>
      <c r="F1073" t="s">
        <v>923</v>
      </c>
    </row>
    <row r="1074" spans="1:6" x14ac:dyDescent="0.35">
      <c r="A1074" t="s">
        <v>644</v>
      </c>
      <c r="B1074" t="s">
        <v>719</v>
      </c>
      <c r="C1074">
        <f>1</f>
        <v>1</v>
      </c>
      <c r="D1074" t="s">
        <v>723</v>
      </c>
      <c r="E1074" t="s">
        <v>723</v>
      </c>
    </row>
    <row r="1075" spans="1:6" x14ac:dyDescent="0.35">
      <c r="A1075" t="s">
        <v>645</v>
      </c>
      <c r="B1075" t="s">
        <v>718</v>
      </c>
      <c r="C1075">
        <f>1000/400000000</f>
        <v>2.5000000000000002E-6</v>
      </c>
      <c r="D1075" t="s">
        <v>722</v>
      </c>
      <c r="E1075" t="s">
        <v>730</v>
      </c>
      <c r="F1075" t="s">
        <v>923</v>
      </c>
    </row>
    <row r="1076" spans="1:6" x14ac:dyDescent="0.35">
      <c r="A1076" t="s">
        <v>645</v>
      </c>
      <c r="B1076" t="s">
        <v>719</v>
      </c>
      <c r="C1076">
        <f>1</f>
        <v>1</v>
      </c>
      <c r="D1076" t="s">
        <v>723</v>
      </c>
      <c r="E1076" t="s">
        <v>723</v>
      </c>
    </row>
    <row r="1077" spans="1:6" x14ac:dyDescent="0.35">
      <c r="A1077" t="s">
        <v>646</v>
      </c>
      <c r="B1077" t="s">
        <v>718</v>
      </c>
      <c r="C1077">
        <f>1/100</f>
        <v>0.01</v>
      </c>
      <c r="D1077" t="s">
        <v>722</v>
      </c>
      <c r="E1077" t="s">
        <v>730</v>
      </c>
      <c r="F1077" t="s">
        <v>927</v>
      </c>
    </row>
    <row r="1078" spans="1:6" x14ac:dyDescent="0.35">
      <c r="A1078" t="s">
        <v>646</v>
      </c>
      <c r="B1078" t="s">
        <v>719</v>
      </c>
      <c r="C1078">
        <f>1 * 3.6</f>
        <v>3.6</v>
      </c>
      <c r="D1078" t="s">
        <v>727</v>
      </c>
      <c r="E1078" t="s">
        <v>723</v>
      </c>
    </row>
    <row r="1079" spans="1:6" x14ac:dyDescent="0.35">
      <c r="A1079" t="s">
        <v>647</v>
      </c>
      <c r="B1079" t="s">
        <v>718</v>
      </c>
      <c r="C1079">
        <f>1 / 1000</f>
        <v>1E-3</v>
      </c>
      <c r="D1079" t="s">
        <v>722</v>
      </c>
      <c r="E1079" t="s">
        <v>730</v>
      </c>
      <c r="F1079" t="s">
        <v>928</v>
      </c>
    </row>
    <row r="1080" spans="1:6" x14ac:dyDescent="0.35">
      <c r="A1080" t="s">
        <v>647</v>
      </c>
      <c r="B1080" t="s">
        <v>719</v>
      </c>
      <c r="C1080">
        <f>1 * 3.6</f>
        <v>3.6</v>
      </c>
      <c r="D1080" t="s">
        <v>727</v>
      </c>
      <c r="E1080" t="s">
        <v>723</v>
      </c>
    </row>
    <row r="1081" spans="1:6" x14ac:dyDescent="0.35">
      <c r="A1081" t="s">
        <v>648</v>
      </c>
      <c r="B1081" t="s">
        <v>718</v>
      </c>
      <c r="C1081">
        <v>1</v>
      </c>
      <c r="D1081" t="s">
        <v>722</v>
      </c>
      <c r="E1081" t="s">
        <v>722</v>
      </c>
    </row>
    <row r="1082" spans="1:6" x14ac:dyDescent="0.35">
      <c r="A1082" t="s">
        <v>649</v>
      </c>
      <c r="B1082" t="s">
        <v>718</v>
      </c>
      <c r="C1082">
        <f>3.89863157894737E-08/0.000000002924</f>
        <v>13.333213334293331</v>
      </c>
      <c r="D1082" t="s">
        <v>722</v>
      </c>
      <c r="E1082" t="s">
        <v>722</v>
      </c>
      <c r="F1082" t="s">
        <v>754</v>
      </c>
    </row>
    <row r="1083" spans="1:6" x14ac:dyDescent="0.35">
      <c r="A1083" t="s">
        <v>650</v>
      </c>
      <c r="B1083" t="s">
        <v>718</v>
      </c>
      <c r="C1083">
        <f>0.956 / 1000</f>
        <v>9.5599999999999993E-4</v>
      </c>
      <c r="D1083" t="s">
        <v>722</v>
      </c>
      <c r="E1083" t="s">
        <v>730</v>
      </c>
      <c r="F1083" t="s">
        <v>945</v>
      </c>
    </row>
    <row r="1084" spans="1:6" x14ac:dyDescent="0.35">
      <c r="A1084" t="s">
        <v>650</v>
      </c>
      <c r="B1084" t="s">
        <v>719</v>
      </c>
      <c r="C1084">
        <f>3.6 / 0.1636</f>
        <v>22.004889975550125</v>
      </c>
      <c r="D1084" t="s">
        <v>727</v>
      </c>
      <c r="E1084" t="s">
        <v>723</v>
      </c>
      <c r="F1084" t="s">
        <v>884</v>
      </c>
    </row>
    <row r="1085" spans="1:6" x14ac:dyDescent="0.35">
      <c r="A1085" t="s">
        <v>651</v>
      </c>
      <c r="B1085" t="s">
        <v>718</v>
      </c>
      <c r="C1085">
        <v>1</v>
      </c>
      <c r="D1085" t="s">
        <v>722</v>
      </c>
      <c r="E1085" t="s">
        <v>722</v>
      </c>
    </row>
    <row r="1086" spans="1:6" x14ac:dyDescent="0.35">
      <c r="A1086" t="s">
        <v>652</v>
      </c>
      <c r="B1086" t="s">
        <v>718</v>
      </c>
      <c r="C1086">
        <v>1</v>
      </c>
      <c r="D1086" t="s">
        <v>722</v>
      </c>
      <c r="E1086" t="s">
        <v>722</v>
      </c>
    </row>
    <row r="1087" spans="1:6" x14ac:dyDescent="0.35">
      <c r="A1087" t="s">
        <v>653</v>
      </c>
      <c r="B1087" t="s">
        <v>718</v>
      </c>
      <c r="C1087">
        <v>1</v>
      </c>
      <c r="D1087" t="s">
        <v>722</v>
      </c>
      <c r="E1087" t="s">
        <v>722</v>
      </c>
    </row>
    <row r="1088" spans="1:6" x14ac:dyDescent="0.35">
      <c r="A1088" t="s">
        <v>654</v>
      </c>
      <c r="B1088" t="s">
        <v>718</v>
      </c>
      <c r="C1088">
        <f>1 * 8760 * 0.093 / (0.75 * 22660)</f>
        <v>4.7936451897616944E-2</v>
      </c>
      <c r="D1088" t="s">
        <v>722</v>
      </c>
      <c r="E1088" t="s">
        <v>733</v>
      </c>
      <c r="F1088" t="s">
        <v>783</v>
      </c>
    </row>
    <row r="1089" spans="1:6" x14ac:dyDescent="0.35">
      <c r="A1089" t="s">
        <v>654</v>
      </c>
      <c r="B1089" t="s">
        <v>719</v>
      </c>
      <c r="C1089">
        <f>1/0.75</f>
        <v>1.3333333333333333</v>
      </c>
      <c r="D1089" t="s">
        <v>726</v>
      </c>
      <c r="E1089" t="s">
        <v>729</v>
      </c>
      <c r="F1089" t="s">
        <v>889</v>
      </c>
    </row>
    <row r="1090" spans="1:6" x14ac:dyDescent="0.35">
      <c r="A1090" t="s">
        <v>655</v>
      </c>
      <c r="B1090" t="s">
        <v>718</v>
      </c>
      <c r="C1090">
        <f>1 * 8760 * 0.093 / (0.75 * 22660)</f>
        <v>4.7936451897616944E-2</v>
      </c>
      <c r="D1090" t="s">
        <v>722</v>
      </c>
      <c r="E1090" t="s">
        <v>733</v>
      </c>
      <c r="F1090" t="s">
        <v>783</v>
      </c>
    </row>
    <row r="1091" spans="1:6" x14ac:dyDescent="0.35">
      <c r="A1091" t="s">
        <v>655</v>
      </c>
      <c r="B1091" t="s">
        <v>719</v>
      </c>
      <c r="C1091">
        <f>1/0.75</f>
        <v>1.3333333333333333</v>
      </c>
      <c r="D1091" t="s">
        <v>726</v>
      </c>
      <c r="E1091" t="s">
        <v>729</v>
      </c>
      <c r="F1091" t="s">
        <v>889</v>
      </c>
    </row>
    <row r="1092" spans="1:6" x14ac:dyDescent="0.35">
      <c r="A1092" t="s">
        <v>656</v>
      </c>
      <c r="B1092" t="s">
        <v>718</v>
      </c>
      <c r="C1092">
        <f>(24*0.86)/2.7 / 1000000</f>
        <v>7.6444444444444432E-6</v>
      </c>
      <c r="D1092" t="s">
        <v>722</v>
      </c>
      <c r="E1092" t="s">
        <v>730</v>
      </c>
      <c r="F1092" t="s">
        <v>788</v>
      </c>
    </row>
    <row r="1093" spans="1:6" x14ac:dyDescent="0.35">
      <c r="A1093" t="s">
        <v>656</v>
      </c>
      <c r="B1093" t="s">
        <v>719</v>
      </c>
      <c r="C1093">
        <f>1 / 5.54</f>
        <v>0.18050541516245489</v>
      </c>
      <c r="D1093" t="s">
        <v>721</v>
      </c>
      <c r="E1093" t="s">
        <v>723</v>
      </c>
      <c r="F1093" t="s">
        <v>789</v>
      </c>
    </row>
    <row r="1094" spans="1:6" x14ac:dyDescent="0.35">
      <c r="A1094" t="s">
        <v>657</v>
      </c>
      <c r="B1094" t="s">
        <v>718</v>
      </c>
      <c r="C1094">
        <f>3.6 * 8760 * 0.86 / (0.05 * 1000 * 14.55) / 1000000</f>
        <v>3.7279670103092786E-5</v>
      </c>
      <c r="D1094" t="s">
        <v>722</v>
      </c>
      <c r="E1094" t="s">
        <v>730</v>
      </c>
      <c r="F1094" t="s">
        <v>790</v>
      </c>
    </row>
    <row r="1095" spans="1:6" x14ac:dyDescent="0.35">
      <c r="A1095" t="s">
        <v>657</v>
      </c>
      <c r="B1095" t="s">
        <v>719</v>
      </c>
      <c r="C1095">
        <f>3.6 / 14.55</f>
        <v>0.24742268041237112</v>
      </c>
      <c r="D1095" t="s">
        <v>721</v>
      </c>
      <c r="E1095" t="s">
        <v>723</v>
      </c>
      <c r="F1095" t="s">
        <v>734</v>
      </c>
    </row>
    <row r="1096" spans="1:6" x14ac:dyDescent="0.35">
      <c r="A1096" t="s">
        <v>658</v>
      </c>
      <c r="B1096" t="s">
        <v>718</v>
      </c>
      <c r="C1096">
        <f>(24*0.86)/2.7 / 1000000</f>
        <v>7.6444444444444432E-6</v>
      </c>
      <c r="D1096" t="s">
        <v>722</v>
      </c>
      <c r="E1096" t="s">
        <v>730</v>
      </c>
      <c r="F1096" t="s">
        <v>791</v>
      </c>
    </row>
    <row r="1097" spans="1:6" x14ac:dyDescent="0.35">
      <c r="A1097" t="s">
        <v>658</v>
      </c>
      <c r="B1097" t="s">
        <v>719</v>
      </c>
      <c r="C1097">
        <f>1 / 5.54</f>
        <v>0.18050541516245489</v>
      </c>
      <c r="D1097" t="s">
        <v>721</v>
      </c>
      <c r="E1097" t="s">
        <v>723</v>
      </c>
      <c r="F1097" t="s">
        <v>789</v>
      </c>
    </row>
    <row r="1098" spans="1:6" x14ac:dyDescent="0.35">
      <c r="A1098" t="s">
        <v>659</v>
      </c>
      <c r="B1098" t="s">
        <v>718</v>
      </c>
      <c r="C1098">
        <f>3.6 * 8760 * 0.86 / (0.05 * 1000 * 41.833) / 1000000</f>
        <v>1.2966299333062415E-5</v>
      </c>
      <c r="D1098" t="s">
        <v>722</v>
      </c>
      <c r="E1098" t="s">
        <v>730</v>
      </c>
      <c r="F1098" t="s">
        <v>792</v>
      </c>
    </row>
    <row r="1099" spans="1:6" x14ac:dyDescent="0.35">
      <c r="A1099" t="s">
        <v>659</v>
      </c>
      <c r="B1099" t="s">
        <v>719</v>
      </c>
      <c r="C1099">
        <f>3.6 / 41.833</f>
        <v>8.6056462601295639E-2</v>
      </c>
      <c r="D1099" t="s">
        <v>721</v>
      </c>
      <c r="E1099" t="s">
        <v>723</v>
      </c>
      <c r="F1099" t="s">
        <v>891</v>
      </c>
    </row>
    <row r="1100" spans="1:6" x14ac:dyDescent="0.35">
      <c r="A1100" t="s">
        <v>660</v>
      </c>
      <c r="B1100" t="s">
        <v>718</v>
      </c>
      <c r="C1100">
        <f>3.6 * 8760 * 0.86 / (0.05 * 1000 * 50.285) / 1000000</f>
        <v>1.0786898677538034E-5</v>
      </c>
      <c r="D1100" t="s">
        <v>722</v>
      </c>
      <c r="E1100" t="s">
        <v>730</v>
      </c>
      <c r="F1100" t="s">
        <v>786</v>
      </c>
    </row>
    <row r="1101" spans="1:6" x14ac:dyDescent="0.35">
      <c r="A1101" t="s">
        <v>660</v>
      </c>
      <c r="B1101" t="s">
        <v>719</v>
      </c>
      <c r="C1101">
        <f>3.6 / 50.285</f>
        <v>7.1591926021676452E-2</v>
      </c>
      <c r="D1101" t="s">
        <v>721</v>
      </c>
      <c r="E1101" t="s">
        <v>723</v>
      </c>
      <c r="F1101" t="s">
        <v>886</v>
      </c>
    </row>
    <row r="1102" spans="1:6" x14ac:dyDescent="0.35">
      <c r="A1102" t="s">
        <v>661</v>
      </c>
      <c r="B1102" t="s">
        <v>718</v>
      </c>
      <c r="C1102">
        <f>1*0.004858 / 300</f>
        <v>1.6193333333333333E-5</v>
      </c>
      <c r="D1102" t="s">
        <v>722</v>
      </c>
      <c r="E1102" t="s">
        <v>730</v>
      </c>
      <c r="F1102" t="s">
        <v>980</v>
      </c>
    </row>
    <row r="1103" spans="1:6" x14ac:dyDescent="0.35">
      <c r="A1103" t="s">
        <v>661</v>
      </c>
      <c r="B1103" t="s">
        <v>719</v>
      </c>
      <c r="C1103">
        <f>1 * 3.6 / 39</f>
        <v>9.2307692307692313E-2</v>
      </c>
      <c r="D1103" t="s">
        <v>724</v>
      </c>
      <c r="E1103" t="s">
        <v>723</v>
      </c>
      <c r="F1103" t="s">
        <v>793</v>
      </c>
    </row>
    <row r="1104" spans="1:6" x14ac:dyDescent="0.35">
      <c r="A1104" t="s">
        <v>662</v>
      </c>
      <c r="B1104" t="s">
        <v>718</v>
      </c>
      <c r="C1104">
        <f>1*0.0202881 / 4</f>
        <v>5.072025E-3</v>
      </c>
      <c r="D1104" t="s">
        <v>722</v>
      </c>
      <c r="E1104" t="s">
        <v>730</v>
      </c>
      <c r="F1104" t="s">
        <v>981</v>
      </c>
    </row>
    <row r="1105" spans="1:6" x14ac:dyDescent="0.35">
      <c r="A1105" t="s">
        <v>662</v>
      </c>
      <c r="B1105" t="s">
        <v>719</v>
      </c>
      <c r="C1105">
        <f>1 * 3.6 / 39</f>
        <v>9.2307692307692313E-2</v>
      </c>
      <c r="D1105" t="s">
        <v>724</v>
      </c>
      <c r="E1105" t="s">
        <v>723</v>
      </c>
      <c r="F1105" t="s">
        <v>793</v>
      </c>
    </row>
    <row r="1106" spans="1:6" x14ac:dyDescent="0.35">
      <c r="A1106" t="s">
        <v>663</v>
      </c>
      <c r="B1106" t="s">
        <v>718</v>
      </c>
      <c r="C1106">
        <f>1*0.0044572 / 300</f>
        <v>1.4857333333333333E-5</v>
      </c>
      <c r="D1106" t="s">
        <v>722</v>
      </c>
      <c r="E1106" t="s">
        <v>730</v>
      </c>
      <c r="F1106" t="s">
        <v>982</v>
      </c>
    </row>
    <row r="1107" spans="1:6" x14ac:dyDescent="0.35">
      <c r="A1107" t="s">
        <v>663</v>
      </c>
      <c r="B1107" t="s">
        <v>719</v>
      </c>
      <c r="C1107">
        <f>1 * 3.6 / 46.5</f>
        <v>7.7419354838709681E-2</v>
      </c>
      <c r="D1107" t="s">
        <v>721</v>
      </c>
      <c r="E1107" t="s">
        <v>723</v>
      </c>
      <c r="F1107" t="s">
        <v>794</v>
      </c>
    </row>
    <row r="1108" spans="1:6" x14ac:dyDescent="0.35">
      <c r="A1108" t="s">
        <v>664</v>
      </c>
      <c r="B1108" t="s">
        <v>719</v>
      </c>
      <c r="C1108">
        <f>1 * 3.6 / 39</f>
        <v>9.2307692307692313E-2</v>
      </c>
      <c r="D1108" t="s">
        <v>724</v>
      </c>
      <c r="E1108" t="s">
        <v>723</v>
      </c>
      <c r="F1108" t="s">
        <v>793</v>
      </c>
    </row>
    <row r="1109" spans="1:6" x14ac:dyDescent="0.35">
      <c r="A1109" t="s">
        <v>665</v>
      </c>
      <c r="B1109" t="s">
        <v>718</v>
      </c>
      <c r="C1109">
        <f>1*0.004858 / 160</f>
        <v>3.0362500000000003E-5</v>
      </c>
      <c r="D1109" t="s">
        <v>722</v>
      </c>
      <c r="E1109" t="s">
        <v>730</v>
      </c>
      <c r="F1109" t="s">
        <v>975</v>
      </c>
    </row>
    <row r="1110" spans="1:6" x14ac:dyDescent="0.35">
      <c r="A1110" t="s">
        <v>665</v>
      </c>
      <c r="B1110" t="s">
        <v>719</v>
      </c>
      <c r="C1110">
        <f>1 * 3.6 / 39</f>
        <v>9.2307692307692313E-2</v>
      </c>
      <c r="D1110" t="s">
        <v>724</v>
      </c>
      <c r="E1110" t="s">
        <v>723</v>
      </c>
      <c r="F1110" t="s">
        <v>793</v>
      </c>
    </row>
    <row r="1111" spans="1:6" x14ac:dyDescent="0.35">
      <c r="A1111" t="s">
        <v>666</v>
      </c>
      <c r="B1111" t="s">
        <v>719</v>
      </c>
      <c r="C1111">
        <f>1 * 3.6 / 39</f>
        <v>9.2307692307692313E-2</v>
      </c>
      <c r="D1111" t="s">
        <v>724</v>
      </c>
      <c r="E1111" t="s">
        <v>723</v>
      </c>
      <c r="F1111" t="s">
        <v>793</v>
      </c>
    </row>
    <row r="1112" spans="1:6" x14ac:dyDescent="0.35">
      <c r="A1112" t="s">
        <v>667</v>
      </c>
      <c r="B1112" t="s">
        <v>718</v>
      </c>
      <c r="C1112">
        <f>1*0.0044572 / 160</f>
        <v>2.7857499999999999E-5</v>
      </c>
      <c r="D1112" t="s">
        <v>722</v>
      </c>
      <c r="E1112" t="s">
        <v>730</v>
      </c>
      <c r="F1112" t="s">
        <v>977</v>
      </c>
    </row>
    <row r="1113" spans="1:6" x14ac:dyDescent="0.35">
      <c r="A1113" t="s">
        <v>667</v>
      </c>
      <c r="B1113" t="s">
        <v>719</v>
      </c>
      <c r="C1113">
        <f>1 * 3.6 / 39</f>
        <v>9.2307692307692313E-2</v>
      </c>
      <c r="D1113" t="s">
        <v>724</v>
      </c>
      <c r="E1113" t="s">
        <v>723</v>
      </c>
      <c r="F1113" t="s">
        <v>793</v>
      </c>
    </row>
    <row r="1114" spans="1:6" x14ac:dyDescent="0.35">
      <c r="A1114" t="s">
        <v>668</v>
      </c>
      <c r="B1114" t="s">
        <v>719</v>
      </c>
      <c r="C1114">
        <f>1 * 3.6 / 46.5</f>
        <v>7.7419354838709681E-2</v>
      </c>
      <c r="D1114" t="s">
        <v>721</v>
      </c>
      <c r="E1114" t="s">
        <v>723</v>
      </c>
      <c r="F1114" t="s">
        <v>794</v>
      </c>
    </row>
    <row r="1115" spans="1:6" x14ac:dyDescent="0.35">
      <c r="A1115" t="s">
        <v>669</v>
      </c>
      <c r="B1115" t="s">
        <v>718</v>
      </c>
      <c r="C1115">
        <f>1*0.0202881 / 160</f>
        <v>1.2680062499999999E-4</v>
      </c>
      <c r="D1115" t="s">
        <v>722</v>
      </c>
      <c r="E1115" t="s">
        <v>730</v>
      </c>
      <c r="F1115" t="s">
        <v>979</v>
      </c>
    </row>
    <row r="1116" spans="1:6" x14ac:dyDescent="0.35">
      <c r="A1116" t="s">
        <v>669</v>
      </c>
      <c r="B1116" t="s">
        <v>719</v>
      </c>
      <c r="C1116">
        <f>1 * 3.6 / 46.5</f>
        <v>7.7419354838709681E-2</v>
      </c>
      <c r="D1116" t="s">
        <v>721</v>
      </c>
      <c r="E1116" t="s">
        <v>723</v>
      </c>
      <c r="F1116" t="s">
        <v>794</v>
      </c>
    </row>
    <row r="1117" spans="1:6" x14ac:dyDescent="0.35">
      <c r="A1117" t="s">
        <v>670</v>
      </c>
      <c r="B1117" t="s">
        <v>718</v>
      </c>
      <c r="C1117">
        <f>1000/4000</f>
        <v>0.25</v>
      </c>
      <c r="D1117" t="s">
        <v>722</v>
      </c>
      <c r="E1117" t="s">
        <v>730</v>
      </c>
      <c r="F1117" t="s">
        <v>934</v>
      </c>
    </row>
    <row r="1118" spans="1:6" x14ac:dyDescent="0.35">
      <c r="A1118" t="s">
        <v>670</v>
      </c>
      <c r="B1118" t="s">
        <v>719</v>
      </c>
      <c r="C1118">
        <f>1/33.3</f>
        <v>3.0030030030030033E-2</v>
      </c>
      <c r="D1118" t="s">
        <v>721</v>
      </c>
      <c r="E1118" t="s">
        <v>723</v>
      </c>
      <c r="F1118" t="s">
        <v>777</v>
      </c>
    </row>
    <row r="1119" spans="1:6" x14ac:dyDescent="0.35">
      <c r="A1119" t="s">
        <v>671</v>
      </c>
      <c r="B1119" t="s">
        <v>718</v>
      </c>
      <c r="C1119">
        <f>1000/4000</f>
        <v>0.25</v>
      </c>
      <c r="D1119" t="s">
        <v>722</v>
      </c>
      <c r="E1119" t="s">
        <v>730</v>
      </c>
      <c r="F1119" t="s">
        <v>934</v>
      </c>
    </row>
    <row r="1120" spans="1:6" x14ac:dyDescent="0.35">
      <c r="A1120" t="s">
        <v>671</v>
      </c>
      <c r="B1120" t="s">
        <v>719</v>
      </c>
      <c r="C1120">
        <f>1/33.3</f>
        <v>3.0030030030030033E-2</v>
      </c>
      <c r="D1120" t="s">
        <v>721</v>
      </c>
      <c r="E1120" t="s">
        <v>723</v>
      </c>
      <c r="F1120" t="s">
        <v>777</v>
      </c>
    </row>
    <row r="1121" spans="1:6" x14ac:dyDescent="0.35">
      <c r="A1121" t="s">
        <v>672</v>
      </c>
      <c r="B1121" t="s">
        <v>718</v>
      </c>
      <c r="C1121">
        <f>8760 * 0.86 / (0.05 * 1000 * 33.3) / 1000000</f>
        <v>4.5246846846846847E-6</v>
      </c>
      <c r="D1121" t="s">
        <v>722</v>
      </c>
      <c r="E1121" t="s">
        <v>730</v>
      </c>
      <c r="F1121" t="s">
        <v>795</v>
      </c>
    </row>
    <row r="1122" spans="1:6" x14ac:dyDescent="0.35">
      <c r="A1122" t="s">
        <v>672</v>
      </c>
      <c r="B1122" t="s">
        <v>719</v>
      </c>
      <c r="C1122">
        <f>1 / 33.3</f>
        <v>3.0030030030030033E-2</v>
      </c>
      <c r="D1122" t="s">
        <v>721</v>
      </c>
      <c r="E1122" t="s">
        <v>723</v>
      </c>
      <c r="F1122" t="s">
        <v>795</v>
      </c>
    </row>
    <row r="1123" spans="1:6" x14ac:dyDescent="0.35">
      <c r="A1123" t="s">
        <v>673</v>
      </c>
      <c r="B1123" t="s">
        <v>718</v>
      </c>
      <c r="C1123">
        <v>1</v>
      </c>
      <c r="D1123" t="s">
        <v>722</v>
      </c>
      <c r="E1123" t="s">
        <v>722</v>
      </c>
    </row>
    <row r="1124" spans="1:6" x14ac:dyDescent="0.35">
      <c r="A1124" t="s">
        <v>674</v>
      </c>
      <c r="B1124" t="s">
        <v>718</v>
      </c>
      <c r="C1124">
        <f>0.00000000254628/5.3483199147628E-10</f>
        <v>4.7608969556431795</v>
      </c>
      <c r="D1124" t="s">
        <v>722</v>
      </c>
      <c r="E1124" t="s">
        <v>722</v>
      </c>
      <c r="F1124" t="s">
        <v>774</v>
      </c>
    </row>
    <row r="1125" spans="1:6" x14ac:dyDescent="0.35">
      <c r="A1125" t="s">
        <v>675</v>
      </c>
      <c r="B1125" t="s">
        <v>718</v>
      </c>
      <c r="C1125">
        <f>1/(16000*0.777*13.1)</f>
        <v>6.1402733158458354E-6</v>
      </c>
      <c r="D1125" t="s">
        <v>722</v>
      </c>
      <c r="E1125" t="s">
        <v>723</v>
      </c>
      <c r="F1125" t="s">
        <v>946</v>
      </c>
    </row>
    <row r="1126" spans="1:6" x14ac:dyDescent="0.35">
      <c r="A1126" t="s">
        <v>676</v>
      </c>
      <c r="B1126" t="s">
        <v>718</v>
      </c>
      <c r="C1126">
        <f>1000 / 10000000</f>
        <v>1E-4</v>
      </c>
      <c r="D1126" t="s">
        <v>722</v>
      </c>
      <c r="E1126" t="s">
        <v>730</v>
      </c>
      <c r="F1126" t="s">
        <v>935</v>
      </c>
    </row>
    <row r="1127" spans="1:6" x14ac:dyDescent="0.35">
      <c r="A1127" t="s">
        <v>676</v>
      </c>
      <c r="B1127" t="s">
        <v>719</v>
      </c>
      <c r="C1127">
        <f>3.6 * 2.5</f>
        <v>9</v>
      </c>
      <c r="D1127" t="s">
        <v>727</v>
      </c>
      <c r="E1127" t="s">
        <v>723</v>
      </c>
      <c r="F1127" t="s">
        <v>894</v>
      </c>
    </row>
    <row r="1128" spans="1:6" x14ac:dyDescent="0.35">
      <c r="A1128" t="s">
        <v>677</v>
      </c>
      <c r="B1128" t="s">
        <v>718</v>
      </c>
      <c r="C1128">
        <f>1000 / 10000000</f>
        <v>1E-4</v>
      </c>
      <c r="D1128" t="s">
        <v>722</v>
      </c>
      <c r="E1128" t="s">
        <v>730</v>
      </c>
      <c r="F1128" t="s">
        <v>935</v>
      </c>
    </row>
    <row r="1129" spans="1:6" x14ac:dyDescent="0.35">
      <c r="A1129" t="s">
        <v>677</v>
      </c>
      <c r="B1129" t="s">
        <v>719</v>
      </c>
      <c r="C1129">
        <f>3.6 * 2.5</f>
        <v>9</v>
      </c>
      <c r="D1129" t="s">
        <v>727</v>
      </c>
      <c r="E1129" t="s">
        <v>723</v>
      </c>
      <c r="F1129" t="s">
        <v>894</v>
      </c>
    </row>
    <row r="1130" spans="1:6" x14ac:dyDescent="0.35">
      <c r="A1130" t="s">
        <v>678</v>
      </c>
      <c r="B1130" t="s">
        <v>718</v>
      </c>
      <c r="C1130">
        <f>1 * 8760 * 0.6 / (57 * 55000000/25)</f>
        <v>4.1913875598086126E-5</v>
      </c>
      <c r="D1130" t="s">
        <v>722</v>
      </c>
      <c r="E1130" t="s">
        <v>733</v>
      </c>
      <c r="F1130" t="s">
        <v>800</v>
      </c>
    </row>
    <row r="1131" spans="1:6" x14ac:dyDescent="0.35">
      <c r="A1131" t="s">
        <v>678</v>
      </c>
      <c r="B1131" t="s">
        <v>719</v>
      </c>
      <c r="C1131">
        <f>1</f>
        <v>1</v>
      </c>
      <c r="D1131" t="s">
        <v>729</v>
      </c>
      <c r="E1131" t="s">
        <v>729</v>
      </c>
    </row>
    <row r="1132" spans="1:6" x14ac:dyDescent="0.35">
      <c r="A1132" t="s">
        <v>679</v>
      </c>
      <c r="B1132" t="s">
        <v>718</v>
      </c>
      <c r="C1132">
        <f>1 * 8760 * 0.444 / (265 * 49000000/25)</f>
        <v>7.4883326915671928E-6</v>
      </c>
      <c r="D1132" t="s">
        <v>722</v>
      </c>
      <c r="E1132" t="s">
        <v>732</v>
      </c>
      <c r="F1132" t="s">
        <v>801</v>
      </c>
    </row>
    <row r="1133" spans="1:6" x14ac:dyDescent="0.35">
      <c r="A1133" t="s">
        <v>679</v>
      </c>
      <c r="B1133" t="s">
        <v>719</v>
      </c>
      <c r="C1133">
        <f>1</f>
        <v>1</v>
      </c>
      <c r="D1133" t="s">
        <v>725</v>
      </c>
      <c r="E1133" t="s">
        <v>725</v>
      </c>
    </row>
    <row r="1134" spans="1:6" x14ac:dyDescent="0.35">
      <c r="A1134" t="s">
        <v>680</v>
      </c>
      <c r="B1134" t="s">
        <v>718</v>
      </c>
      <c r="C1134">
        <f>1 * 8760 * 0.349 / (130 * 49000000/25)</f>
        <v>1.1998587127158555E-5</v>
      </c>
      <c r="D1134" t="s">
        <v>722</v>
      </c>
      <c r="E1134" t="s">
        <v>732</v>
      </c>
      <c r="F1134" t="s">
        <v>802</v>
      </c>
    </row>
    <row r="1135" spans="1:6" x14ac:dyDescent="0.35">
      <c r="A1135" t="s">
        <v>680</v>
      </c>
      <c r="B1135" t="s">
        <v>719</v>
      </c>
      <c r="C1135">
        <f>1</f>
        <v>1</v>
      </c>
      <c r="D1135" t="s">
        <v>725</v>
      </c>
      <c r="E1135" t="s">
        <v>725</v>
      </c>
    </row>
    <row r="1136" spans="1:6" x14ac:dyDescent="0.35">
      <c r="A1136" t="s">
        <v>681</v>
      </c>
      <c r="B1136" t="s">
        <v>718</v>
      </c>
      <c r="C1136">
        <f>1 * 8760 * 0.297 / (47 * 24000)</f>
        <v>2.3064893617021276E-3</v>
      </c>
      <c r="D1136" t="s">
        <v>722</v>
      </c>
      <c r="E1136" t="s">
        <v>732</v>
      </c>
      <c r="F1136" t="s">
        <v>806</v>
      </c>
    </row>
    <row r="1137" spans="1:6" x14ac:dyDescent="0.35">
      <c r="A1137" t="s">
        <v>681</v>
      </c>
      <c r="B1137" t="s">
        <v>719</v>
      </c>
      <c r="C1137">
        <f>1</f>
        <v>1</v>
      </c>
      <c r="D1137" t="s">
        <v>725</v>
      </c>
      <c r="E1137" t="s">
        <v>725</v>
      </c>
    </row>
    <row r="1138" spans="1:6" x14ac:dyDescent="0.35">
      <c r="A1138" t="s">
        <v>682</v>
      </c>
      <c r="B1138" t="s">
        <v>718</v>
      </c>
      <c r="C1138">
        <f>1 * 8760 * 0.093 / (13.4 * 108000)</f>
        <v>5.629353233830845E-4</v>
      </c>
      <c r="D1138" t="s">
        <v>722</v>
      </c>
      <c r="E1138" t="s">
        <v>733</v>
      </c>
      <c r="F1138" t="s">
        <v>1032</v>
      </c>
    </row>
    <row r="1139" spans="1:6" x14ac:dyDescent="0.35">
      <c r="A1139" t="s">
        <v>682</v>
      </c>
      <c r="B1139" t="s">
        <v>719</v>
      </c>
      <c r="C1139">
        <f>1/13.4</f>
        <v>7.4626865671641784E-2</v>
      </c>
      <c r="D1139" t="s">
        <v>726</v>
      </c>
      <c r="E1139" t="s">
        <v>729</v>
      </c>
      <c r="F1139" t="s">
        <v>1033</v>
      </c>
    </row>
    <row r="1140" spans="1:6" x14ac:dyDescent="0.35">
      <c r="A1140" t="s">
        <v>683</v>
      </c>
      <c r="B1140" t="s">
        <v>718</v>
      </c>
      <c r="C1140">
        <f>1 * 8760 * 0.093 / (13.4 * 108000)</f>
        <v>5.629353233830845E-4</v>
      </c>
      <c r="D1140" t="s">
        <v>722</v>
      </c>
      <c r="E1140" t="s">
        <v>733</v>
      </c>
      <c r="F1140" t="s">
        <v>1032</v>
      </c>
    </row>
    <row r="1141" spans="1:6" x14ac:dyDescent="0.35">
      <c r="A1141" t="s">
        <v>683</v>
      </c>
      <c r="B1141" t="s">
        <v>719</v>
      </c>
      <c r="C1141">
        <f>1/13.4</f>
        <v>7.4626865671641784E-2</v>
      </c>
      <c r="D1141" t="s">
        <v>726</v>
      </c>
      <c r="E1141" t="s">
        <v>729</v>
      </c>
      <c r="F1141" t="s">
        <v>1033</v>
      </c>
    </row>
    <row r="1142" spans="1:6" x14ac:dyDescent="0.35">
      <c r="A1142" t="s">
        <v>684</v>
      </c>
      <c r="B1142" t="s">
        <v>718</v>
      </c>
      <c r="C1142">
        <f>1 * 8760 * 0.093 / (6.3 * 73000)</f>
        <v>1.7714285714285714E-3</v>
      </c>
      <c r="D1142" t="s">
        <v>722</v>
      </c>
      <c r="E1142" t="s">
        <v>733</v>
      </c>
      <c r="F1142" t="s">
        <v>807</v>
      </c>
    </row>
    <row r="1143" spans="1:6" x14ac:dyDescent="0.35">
      <c r="A1143" t="s">
        <v>684</v>
      </c>
      <c r="B1143" t="s">
        <v>719</v>
      </c>
      <c r="C1143">
        <f>1/6.3</f>
        <v>0.15873015873015872</v>
      </c>
      <c r="D1143" t="s">
        <v>726</v>
      </c>
      <c r="E1143" t="s">
        <v>729</v>
      </c>
      <c r="F1143" t="s">
        <v>892</v>
      </c>
    </row>
    <row r="1144" spans="1:6" x14ac:dyDescent="0.35">
      <c r="A1144" t="s">
        <v>685</v>
      </c>
      <c r="B1144" t="s">
        <v>718</v>
      </c>
      <c r="C1144">
        <f>1 * 8760 * 0.051 / (1.23 * 12000)</f>
        <v>3.0268292682926828E-2</v>
      </c>
      <c r="D1144" t="s">
        <v>722</v>
      </c>
      <c r="E1144" t="s">
        <v>732</v>
      </c>
      <c r="F1144" t="s">
        <v>746</v>
      </c>
    </row>
    <row r="1145" spans="1:6" x14ac:dyDescent="0.35">
      <c r="A1145" t="s">
        <v>685</v>
      </c>
      <c r="B1145" t="s">
        <v>719</v>
      </c>
      <c r="C1145">
        <f>1/1.23</f>
        <v>0.81300813008130079</v>
      </c>
      <c r="D1145" t="s">
        <v>726</v>
      </c>
      <c r="E1145" t="s">
        <v>725</v>
      </c>
      <c r="F1145" t="s">
        <v>879</v>
      </c>
    </row>
    <row r="1146" spans="1:6" x14ac:dyDescent="0.35">
      <c r="A1146" t="s">
        <v>686</v>
      </c>
      <c r="B1146" t="s">
        <v>718</v>
      </c>
      <c r="C1146">
        <f>1 * 8760 * 0.051 / (1.23 * 12000)</f>
        <v>3.0268292682926828E-2</v>
      </c>
      <c r="D1146" t="s">
        <v>722</v>
      </c>
      <c r="E1146" t="s">
        <v>732</v>
      </c>
      <c r="F1146" t="s">
        <v>746</v>
      </c>
    </row>
    <row r="1147" spans="1:6" x14ac:dyDescent="0.35">
      <c r="A1147" t="s">
        <v>686</v>
      </c>
      <c r="B1147" t="s">
        <v>719</v>
      </c>
      <c r="C1147">
        <f>1/1.23</f>
        <v>0.81300813008130079</v>
      </c>
      <c r="D1147" t="s">
        <v>726</v>
      </c>
      <c r="E1147" t="s">
        <v>725</v>
      </c>
      <c r="F1147" t="s">
        <v>879</v>
      </c>
    </row>
    <row r="1148" spans="1:6" x14ac:dyDescent="0.35">
      <c r="A1148" t="s">
        <v>687</v>
      </c>
      <c r="B1148" t="s">
        <v>718</v>
      </c>
      <c r="C1148">
        <f>1 * 8760 * 0.051 / (1.23 * 12000)</f>
        <v>3.0268292682926828E-2</v>
      </c>
      <c r="D1148" t="s">
        <v>722</v>
      </c>
      <c r="E1148" t="s">
        <v>732</v>
      </c>
      <c r="F1148" t="s">
        <v>746</v>
      </c>
    </row>
    <row r="1149" spans="1:6" x14ac:dyDescent="0.35">
      <c r="A1149" t="s">
        <v>687</v>
      </c>
      <c r="B1149" t="s">
        <v>719</v>
      </c>
      <c r="C1149">
        <f>1/1.23</f>
        <v>0.81300813008130079</v>
      </c>
      <c r="D1149" t="s">
        <v>726</v>
      </c>
      <c r="E1149" t="s">
        <v>725</v>
      </c>
      <c r="F1149" t="s">
        <v>879</v>
      </c>
    </row>
    <row r="1150" spans="1:6" x14ac:dyDescent="0.35">
      <c r="A1150" t="s">
        <v>688</v>
      </c>
      <c r="B1150" t="s">
        <v>718</v>
      </c>
      <c r="C1150">
        <f>1 * 8760 * 0.051 / (1.23 * 12000)</f>
        <v>3.0268292682926828E-2</v>
      </c>
      <c r="D1150" t="s">
        <v>722</v>
      </c>
      <c r="E1150" t="s">
        <v>732</v>
      </c>
      <c r="F1150" t="s">
        <v>746</v>
      </c>
    </row>
    <row r="1151" spans="1:6" x14ac:dyDescent="0.35">
      <c r="A1151" t="s">
        <v>688</v>
      </c>
      <c r="B1151" t="s">
        <v>719</v>
      </c>
      <c r="C1151">
        <f>1/1.23</f>
        <v>0.81300813008130079</v>
      </c>
      <c r="D1151" t="s">
        <v>726</v>
      </c>
      <c r="E1151" t="s">
        <v>725</v>
      </c>
      <c r="F1151" t="s">
        <v>879</v>
      </c>
    </row>
    <row r="1152" spans="1:6" x14ac:dyDescent="0.35">
      <c r="A1152" t="s">
        <v>689</v>
      </c>
      <c r="B1152" t="s">
        <v>718</v>
      </c>
      <c r="C1152">
        <f>1 * 8760 * 0.051 / (1.23 * 12000)</f>
        <v>3.0268292682926828E-2</v>
      </c>
      <c r="D1152" t="s">
        <v>722</v>
      </c>
      <c r="E1152" t="s">
        <v>732</v>
      </c>
      <c r="F1152" t="s">
        <v>746</v>
      </c>
    </row>
    <row r="1153" spans="1:6" x14ac:dyDescent="0.35">
      <c r="A1153" t="s">
        <v>689</v>
      </c>
      <c r="B1153" t="s">
        <v>719</v>
      </c>
      <c r="C1153">
        <f>1/1.23</f>
        <v>0.81300813008130079</v>
      </c>
      <c r="D1153" t="s">
        <v>726</v>
      </c>
      <c r="E1153" t="s">
        <v>725</v>
      </c>
      <c r="F1153" t="s">
        <v>879</v>
      </c>
    </row>
    <row r="1154" spans="1:6" x14ac:dyDescent="0.35">
      <c r="A1154" t="s">
        <v>690</v>
      </c>
      <c r="B1154" t="s">
        <v>718</v>
      </c>
      <c r="C1154">
        <f>1 * 8760 * 0.051 / (1.23 * 12000)</f>
        <v>3.0268292682926828E-2</v>
      </c>
      <c r="D1154" t="s">
        <v>722</v>
      </c>
      <c r="E1154" t="s">
        <v>732</v>
      </c>
      <c r="F1154" t="s">
        <v>746</v>
      </c>
    </row>
    <row r="1155" spans="1:6" x14ac:dyDescent="0.35">
      <c r="A1155" t="s">
        <v>690</v>
      </c>
      <c r="B1155" t="s">
        <v>719</v>
      </c>
      <c r="C1155">
        <f>1/1.23</f>
        <v>0.81300813008130079</v>
      </c>
      <c r="D1155" t="s">
        <v>726</v>
      </c>
      <c r="E1155" t="s">
        <v>725</v>
      </c>
      <c r="F1155" t="s">
        <v>879</v>
      </c>
    </row>
    <row r="1156" spans="1:6" x14ac:dyDescent="0.35">
      <c r="A1156" t="s">
        <v>691</v>
      </c>
      <c r="B1156" t="s">
        <v>718</v>
      </c>
      <c r="C1156">
        <f>1 * 8760 * 0.051 / (1.23 * 12000)</f>
        <v>3.0268292682926828E-2</v>
      </c>
      <c r="D1156" t="s">
        <v>722</v>
      </c>
      <c r="E1156" t="s">
        <v>732</v>
      </c>
      <c r="F1156" t="s">
        <v>746</v>
      </c>
    </row>
    <row r="1157" spans="1:6" x14ac:dyDescent="0.35">
      <c r="A1157" t="s">
        <v>691</v>
      </c>
      <c r="B1157" t="s">
        <v>719</v>
      </c>
      <c r="C1157">
        <f>1/1.23</f>
        <v>0.81300813008130079</v>
      </c>
      <c r="D1157" t="s">
        <v>726</v>
      </c>
      <c r="E1157" t="s">
        <v>725</v>
      </c>
      <c r="F1157" t="s">
        <v>879</v>
      </c>
    </row>
    <row r="1158" spans="1:6" x14ac:dyDescent="0.35">
      <c r="A1158" t="s">
        <v>692</v>
      </c>
      <c r="B1158" t="s">
        <v>718</v>
      </c>
      <c r="C1158">
        <f>1 * 8760 * 0.051 / (1.23 * 12000)</f>
        <v>3.0268292682926828E-2</v>
      </c>
      <c r="D1158" t="s">
        <v>722</v>
      </c>
      <c r="E1158" t="s">
        <v>732</v>
      </c>
      <c r="F1158" t="s">
        <v>746</v>
      </c>
    </row>
    <row r="1159" spans="1:6" x14ac:dyDescent="0.35">
      <c r="A1159" t="s">
        <v>692</v>
      </c>
      <c r="B1159" t="s">
        <v>719</v>
      </c>
      <c r="C1159">
        <f>1/1.23</f>
        <v>0.81300813008130079</v>
      </c>
      <c r="D1159" t="s">
        <v>726</v>
      </c>
      <c r="E1159" t="s">
        <v>725</v>
      </c>
      <c r="F1159" t="s">
        <v>879</v>
      </c>
    </row>
    <row r="1160" spans="1:6" x14ac:dyDescent="0.35">
      <c r="A1160" t="s">
        <v>693</v>
      </c>
      <c r="B1160" t="s">
        <v>718</v>
      </c>
      <c r="C1160">
        <f>1 * 8760 * 0.051 / (1.23 * 12000)</f>
        <v>3.0268292682926828E-2</v>
      </c>
      <c r="D1160" t="s">
        <v>722</v>
      </c>
      <c r="E1160" t="s">
        <v>732</v>
      </c>
      <c r="F1160" t="s">
        <v>746</v>
      </c>
    </row>
    <row r="1161" spans="1:6" x14ac:dyDescent="0.35">
      <c r="A1161" t="s">
        <v>693</v>
      </c>
      <c r="B1161" t="s">
        <v>719</v>
      </c>
      <c r="C1161">
        <f>1/1.23</f>
        <v>0.81300813008130079</v>
      </c>
      <c r="D1161" t="s">
        <v>726</v>
      </c>
      <c r="E1161" t="s">
        <v>725</v>
      </c>
      <c r="F1161" t="s">
        <v>879</v>
      </c>
    </row>
    <row r="1162" spans="1:6" x14ac:dyDescent="0.35">
      <c r="A1162" t="s">
        <v>694</v>
      </c>
      <c r="B1162" t="s">
        <v>718</v>
      </c>
      <c r="C1162">
        <f>1 * 8760 * 0.051 / (1.23 * 12000)</f>
        <v>3.0268292682926828E-2</v>
      </c>
      <c r="D1162" t="s">
        <v>722</v>
      </c>
      <c r="E1162" t="s">
        <v>732</v>
      </c>
      <c r="F1162" t="s">
        <v>746</v>
      </c>
    </row>
    <row r="1163" spans="1:6" x14ac:dyDescent="0.35">
      <c r="A1163" t="s">
        <v>694</v>
      </c>
      <c r="B1163" t="s">
        <v>719</v>
      </c>
      <c r="C1163">
        <f>1/1.23</f>
        <v>0.81300813008130079</v>
      </c>
      <c r="D1163" t="s">
        <v>726</v>
      </c>
      <c r="E1163" t="s">
        <v>725</v>
      </c>
      <c r="F1163" t="s">
        <v>879</v>
      </c>
    </row>
    <row r="1164" spans="1:6" x14ac:dyDescent="0.35">
      <c r="A1164" t="s">
        <v>695</v>
      </c>
      <c r="B1164" t="s">
        <v>718</v>
      </c>
      <c r="C1164">
        <f>1 * 8760 * 0.051 / (1.23 * 12000)</f>
        <v>3.0268292682926828E-2</v>
      </c>
      <c r="D1164" t="s">
        <v>722</v>
      </c>
      <c r="E1164" t="s">
        <v>732</v>
      </c>
      <c r="F1164" t="s">
        <v>746</v>
      </c>
    </row>
    <row r="1165" spans="1:6" x14ac:dyDescent="0.35">
      <c r="A1165" t="s">
        <v>695</v>
      </c>
      <c r="B1165" t="s">
        <v>719</v>
      </c>
      <c r="C1165">
        <f>1/1.23</f>
        <v>0.81300813008130079</v>
      </c>
      <c r="D1165" t="s">
        <v>726</v>
      </c>
      <c r="E1165" t="s">
        <v>725</v>
      </c>
      <c r="F1165" t="s">
        <v>879</v>
      </c>
    </row>
    <row r="1166" spans="1:6" x14ac:dyDescent="0.35">
      <c r="A1166" t="s">
        <v>696</v>
      </c>
      <c r="B1166" t="s">
        <v>718</v>
      </c>
      <c r="C1166">
        <f>1 * 8760 * 0.051 / (1.23 * 12000)</f>
        <v>3.0268292682926828E-2</v>
      </c>
      <c r="D1166" t="s">
        <v>722</v>
      </c>
      <c r="E1166" t="s">
        <v>732</v>
      </c>
      <c r="F1166" t="s">
        <v>746</v>
      </c>
    </row>
    <row r="1167" spans="1:6" x14ac:dyDescent="0.35">
      <c r="A1167" t="s">
        <v>696</v>
      </c>
      <c r="B1167" t="s">
        <v>719</v>
      </c>
      <c r="C1167">
        <f>1/1.23</f>
        <v>0.81300813008130079</v>
      </c>
      <c r="D1167" t="s">
        <v>726</v>
      </c>
      <c r="E1167" t="s">
        <v>725</v>
      </c>
      <c r="F1167" t="s">
        <v>879</v>
      </c>
    </row>
    <row r="1168" spans="1:6" x14ac:dyDescent="0.35">
      <c r="A1168" t="s">
        <v>697</v>
      </c>
      <c r="B1168" t="s">
        <v>718</v>
      </c>
      <c r="C1168">
        <f>1 * 8760 * 0.275 / (343 * 400000)</f>
        <v>1.7558309037900874E-5</v>
      </c>
      <c r="D1168" t="s">
        <v>722</v>
      </c>
      <c r="E1168" t="s">
        <v>732</v>
      </c>
      <c r="F1168" t="s">
        <v>811</v>
      </c>
    </row>
    <row r="1169" spans="1:6" x14ac:dyDescent="0.35">
      <c r="A1169" t="s">
        <v>697</v>
      </c>
      <c r="B1169" t="s">
        <v>719</v>
      </c>
      <c r="C1169">
        <f>1</f>
        <v>1</v>
      </c>
      <c r="D1169" t="s">
        <v>725</v>
      </c>
      <c r="E1169" t="s">
        <v>725</v>
      </c>
    </row>
    <row r="1170" spans="1:6" x14ac:dyDescent="0.35">
      <c r="A1170" t="s">
        <v>698</v>
      </c>
      <c r="B1170" t="s">
        <v>718</v>
      </c>
      <c r="C1170">
        <f>1 * 8760 * 0.275 / (343 * 400000)</f>
        <v>1.7558309037900874E-5</v>
      </c>
      <c r="D1170" t="s">
        <v>722</v>
      </c>
      <c r="E1170" t="s">
        <v>732</v>
      </c>
      <c r="F1170" t="s">
        <v>811</v>
      </c>
    </row>
    <row r="1171" spans="1:6" x14ac:dyDescent="0.35">
      <c r="A1171" t="s">
        <v>698</v>
      </c>
      <c r="B1171" t="s">
        <v>719</v>
      </c>
      <c r="C1171">
        <f>1</f>
        <v>1</v>
      </c>
      <c r="D1171" t="s">
        <v>725</v>
      </c>
      <c r="E1171" t="s">
        <v>725</v>
      </c>
    </row>
    <row r="1172" spans="1:6" x14ac:dyDescent="0.35">
      <c r="A1172" t="s">
        <v>699</v>
      </c>
      <c r="B1172" t="s">
        <v>718</v>
      </c>
      <c r="C1172">
        <f>(40 * 8760 * 0.342) / (9600000 * 20 * 26)</f>
        <v>2.4005769230769232E-5</v>
      </c>
      <c r="D1172" t="s">
        <v>722</v>
      </c>
      <c r="E1172" t="s">
        <v>733</v>
      </c>
      <c r="F1172" t="s">
        <v>959</v>
      </c>
    </row>
    <row r="1173" spans="1:6" x14ac:dyDescent="0.35">
      <c r="A1173" t="s">
        <v>699</v>
      </c>
      <c r="B1173" t="s">
        <v>719</v>
      </c>
      <c r="C1173">
        <v>1</v>
      </c>
      <c r="D1173" t="s">
        <v>729</v>
      </c>
      <c r="E1173" t="s">
        <v>729</v>
      </c>
    </row>
    <row r="1174" spans="1:6" x14ac:dyDescent="0.35">
      <c r="A1174" t="s">
        <v>700</v>
      </c>
      <c r="B1174" t="s">
        <v>718</v>
      </c>
      <c r="C1174">
        <v>2</v>
      </c>
      <c r="D1174" t="s">
        <v>722</v>
      </c>
      <c r="E1174" t="s">
        <v>722</v>
      </c>
      <c r="F1174" t="s">
        <v>960</v>
      </c>
    </row>
    <row r="1175" spans="1:6" x14ac:dyDescent="0.35">
      <c r="A1175" t="s">
        <v>701</v>
      </c>
      <c r="B1175" t="s">
        <v>718</v>
      </c>
      <c r="C1175">
        <v>20</v>
      </c>
      <c r="D1175" t="s">
        <v>722</v>
      </c>
      <c r="E1175" t="s">
        <v>722</v>
      </c>
      <c r="F1175" t="s">
        <v>961</v>
      </c>
    </row>
    <row r="1176" spans="1:6" x14ac:dyDescent="0.35">
      <c r="A1176" t="s">
        <v>702</v>
      </c>
      <c r="B1176" t="s">
        <v>718</v>
      </c>
      <c r="C1176">
        <f>(40 * 8760 * 0.342) / (9600000 * 20 * 26)</f>
        <v>2.4005769230769232E-5</v>
      </c>
      <c r="D1176" t="s">
        <v>722</v>
      </c>
      <c r="E1176" t="s">
        <v>733</v>
      </c>
      <c r="F1176" t="s">
        <v>959</v>
      </c>
    </row>
    <row r="1177" spans="1:6" x14ac:dyDescent="0.35">
      <c r="A1177" t="s">
        <v>702</v>
      </c>
      <c r="B1177" t="s">
        <v>719</v>
      </c>
      <c r="C1177">
        <v>1</v>
      </c>
      <c r="D1177" t="s">
        <v>729</v>
      </c>
      <c r="E1177" t="s">
        <v>729</v>
      </c>
    </row>
    <row r="1178" spans="1:6" x14ac:dyDescent="0.35">
      <c r="A1178" t="s">
        <v>703</v>
      </c>
      <c r="B1178" t="s">
        <v>718</v>
      </c>
      <c r="C1178">
        <v>2</v>
      </c>
      <c r="D1178" t="s">
        <v>722</v>
      </c>
      <c r="E1178" t="s">
        <v>722</v>
      </c>
      <c r="F1178" t="s">
        <v>960</v>
      </c>
    </row>
    <row r="1179" spans="1:6" x14ac:dyDescent="0.35">
      <c r="A1179" t="s">
        <v>704</v>
      </c>
      <c r="B1179" t="s">
        <v>718</v>
      </c>
      <c r="C1179">
        <v>20</v>
      </c>
      <c r="D1179" t="s">
        <v>722</v>
      </c>
      <c r="E1179" t="s">
        <v>722</v>
      </c>
      <c r="F1179" t="s">
        <v>961</v>
      </c>
    </row>
    <row r="1180" spans="1:6" x14ac:dyDescent="0.35">
      <c r="A1180" t="s">
        <v>705</v>
      </c>
      <c r="B1180" t="s">
        <v>718</v>
      </c>
      <c r="C1180">
        <f>(40 * 8760 * 0.342) / (9600000 * 20 * 26)</f>
        <v>2.4005769230769232E-5</v>
      </c>
      <c r="D1180" t="s">
        <v>722</v>
      </c>
      <c r="E1180" t="s">
        <v>733</v>
      </c>
      <c r="F1180" t="s">
        <v>959</v>
      </c>
    </row>
    <row r="1181" spans="1:6" x14ac:dyDescent="0.35">
      <c r="A1181" t="s">
        <v>705</v>
      </c>
      <c r="B1181" t="s">
        <v>719</v>
      </c>
      <c r="C1181">
        <v>1</v>
      </c>
      <c r="D1181" t="s">
        <v>729</v>
      </c>
      <c r="E1181" t="s">
        <v>729</v>
      </c>
    </row>
    <row r="1182" spans="1:6" x14ac:dyDescent="0.35">
      <c r="A1182" t="s">
        <v>706</v>
      </c>
      <c r="B1182" t="s">
        <v>718</v>
      </c>
      <c r="C1182">
        <v>2</v>
      </c>
      <c r="D1182" t="s">
        <v>722</v>
      </c>
      <c r="E1182" t="s">
        <v>722</v>
      </c>
      <c r="F1182" t="s">
        <v>960</v>
      </c>
    </row>
    <row r="1183" spans="1:6" x14ac:dyDescent="0.35">
      <c r="A1183" t="s">
        <v>707</v>
      </c>
      <c r="B1183" t="s">
        <v>718</v>
      </c>
      <c r="C1183">
        <v>20</v>
      </c>
      <c r="D1183" t="s">
        <v>722</v>
      </c>
      <c r="E1183" t="s">
        <v>722</v>
      </c>
      <c r="F1183" t="s">
        <v>961</v>
      </c>
    </row>
    <row r="1184" spans="1:6" x14ac:dyDescent="0.35">
      <c r="A1184" t="s">
        <v>708</v>
      </c>
      <c r="B1184" t="s">
        <v>718</v>
      </c>
      <c r="C1184">
        <f>(40 * 8760 * 0.342) / (9600000 * 20 * 26)</f>
        <v>2.4005769230769232E-5</v>
      </c>
      <c r="D1184" t="s">
        <v>722</v>
      </c>
      <c r="E1184" t="s">
        <v>733</v>
      </c>
      <c r="F1184" t="s">
        <v>959</v>
      </c>
    </row>
    <row r="1185" spans="1:6" x14ac:dyDescent="0.35">
      <c r="A1185" t="s">
        <v>708</v>
      </c>
      <c r="B1185" t="s">
        <v>719</v>
      </c>
      <c r="C1185">
        <v>1</v>
      </c>
      <c r="D1185" t="s">
        <v>729</v>
      </c>
      <c r="E1185" t="s">
        <v>729</v>
      </c>
    </row>
    <row r="1186" spans="1:6" x14ac:dyDescent="0.35">
      <c r="A1186" t="s">
        <v>709</v>
      </c>
      <c r="B1186" t="s">
        <v>718</v>
      </c>
      <c r="C1186">
        <v>2</v>
      </c>
      <c r="D1186" t="s">
        <v>722</v>
      </c>
      <c r="E1186" t="s">
        <v>722</v>
      </c>
      <c r="F1186" t="s">
        <v>960</v>
      </c>
    </row>
    <row r="1187" spans="1:6" x14ac:dyDescent="0.35">
      <c r="A1187" t="s">
        <v>710</v>
      </c>
      <c r="B1187" t="s">
        <v>718</v>
      </c>
      <c r="C1187">
        <v>20</v>
      </c>
      <c r="D1187" t="s">
        <v>722</v>
      </c>
      <c r="E1187" t="s">
        <v>722</v>
      </c>
      <c r="F1187" t="s">
        <v>961</v>
      </c>
    </row>
    <row r="1188" spans="1:6" x14ac:dyDescent="0.35">
      <c r="A1188" t="s">
        <v>711</v>
      </c>
      <c r="B1188" t="s">
        <v>718</v>
      </c>
      <c r="C1188">
        <f>1 * 8760 * 0.275 / (343 * 400000)</f>
        <v>1.7558309037900874E-5</v>
      </c>
      <c r="D1188" t="s">
        <v>722</v>
      </c>
      <c r="E1188" t="s">
        <v>732</v>
      </c>
      <c r="F1188" t="s">
        <v>811</v>
      </c>
    </row>
    <row r="1189" spans="1:6" x14ac:dyDescent="0.35">
      <c r="A1189" t="s">
        <v>711</v>
      </c>
      <c r="B1189" t="s">
        <v>719</v>
      </c>
      <c r="C1189">
        <f>1</f>
        <v>1</v>
      </c>
      <c r="D1189" t="s">
        <v>725</v>
      </c>
      <c r="E1189" t="s">
        <v>725</v>
      </c>
    </row>
    <row r="1190" spans="1:6" x14ac:dyDescent="0.35">
      <c r="A1190" t="s">
        <v>712</v>
      </c>
      <c r="B1190" t="s">
        <v>718</v>
      </c>
      <c r="C1190">
        <f>1 * 8760 * 0.275 / (343 * 400000)</f>
        <v>1.7558309037900874E-5</v>
      </c>
      <c r="D1190" t="s">
        <v>722</v>
      </c>
      <c r="E1190" t="s">
        <v>732</v>
      </c>
      <c r="F1190" t="s">
        <v>811</v>
      </c>
    </row>
    <row r="1191" spans="1:6" x14ac:dyDescent="0.35">
      <c r="A1191" t="s">
        <v>712</v>
      </c>
      <c r="B1191" t="s">
        <v>719</v>
      </c>
      <c r="C1191">
        <f>1</f>
        <v>1</v>
      </c>
      <c r="D1191" t="s">
        <v>725</v>
      </c>
      <c r="E1191" t="s">
        <v>725</v>
      </c>
    </row>
    <row r="1192" spans="1:6" x14ac:dyDescent="0.35">
      <c r="A1192" t="s">
        <v>713</v>
      </c>
      <c r="B1192" t="s">
        <v>718</v>
      </c>
      <c r="C1192">
        <f>1 * 8760 * 0.093 / (7.4 * 98000)</f>
        <v>1.1233866519580805E-3</v>
      </c>
      <c r="D1192" t="s">
        <v>722</v>
      </c>
      <c r="E1192" t="s">
        <v>733</v>
      </c>
      <c r="F1192" t="s">
        <v>1034</v>
      </c>
    </row>
    <row r="1193" spans="1:6" x14ac:dyDescent="0.35">
      <c r="A1193" t="s">
        <v>713</v>
      </c>
      <c r="B1193" t="s">
        <v>719</v>
      </c>
      <c r="C1193">
        <f>1/7.4</f>
        <v>0.13513513513513511</v>
      </c>
      <c r="D1193" t="s">
        <v>726</v>
      </c>
      <c r="E1193" t="s">
        <v>729</v>
      </c>
      <c r="F1193" t="s">
        <v>1035</v>
      </c>
    </row>
    <row r="1194" spans="1:6" x14ac:dyDescent="0.35">
      <c r="A1194" t="s">
        <v>714</v>
      </c>
      <c r="B1194" t="s">
        <v>718</v>
      </c>
      <c r="C1194">
        <f>1 * 8760 * 0.093 / (3.2 * 78000)</f>
        <v>3.2639423076923075E-3</v>
      </c>
      <c r="D1194" t="s">
        <v>722</v>
      </c>
      <c r="E1194" t="s">
        <v>733</v>
      </c>
      <c r="F1194" t="s">
        <v>812</v>
      </c>
    </row>
    <row r="1195" spans="1:6" x14ac:dyDescent="0.35">
      <c r="A1195" t="s">
        <v>714</v>
      </c>
      <c r="B1195" t="s">
        <v>719</v>
      </c>
      <c r="C1195">
        <f>1/3.2</f>
        <v>0.3125</v>
      </c>
      <c r="D1195" t="s">
        <v>726</v>
      </c>
      <c r="E1195" t="s">
        <v>729</v>
      </c>
      <c r="F1195" t="s">
        <v>893</v>
      </c>
    </row>
    <row r="1196" spans="1:6" x14ac:dyDescent="0.35">
      <c r="A1196" t="s">
        <v>715</v>
      </c>
      <c r="B1196" t="s">
        <v>718</v>
      </c>
      <c r="C1196">
        <f>1 * 8760 * 0.093 / (3.2 * 78000)</f>
        <v>3.2639423076923075E-3</v>
      </c>
      <c r="D1196" t="s">
        <v>722</v>
      </c>
      <c r="E1196" t="s">
        <v>733</v>
      </c>
      <c r="F1196" t="s">
        <v>812</v>
      </c>
    </row>
    <row r="1197" spans="1:6" x14ac:dyDescent="0.35">
      <c r="A1197" t="s">
        <v>715</v>
      </c>
      <c r="B1197" t="s">
        <v>719</v>
      </c>
      <c r="C1197">
        <f>1/3.2</f>
        <v>0.3125</v>
      </c>
      <c r="D1197" t="s">
        <v>726</v>
      </c>
      <c r="E1197" t="s">
        <v>729</v>
      </c>
      <c r="F1197" t="s">
        <v>893</v>
      </c>
    </row>
    <row r="1198" spans="1:6" x14ac:dyDescent="0.35">
      <c r="A1198" t="s">
        <v>716</v>
      </c>
      <c r="B1198" t="s">
        <v>717</v>
      </c>
      <c r="C1198">
        <f>1 * 3.6 / 31.58</f>
        <v>0.11399620012666245</v>
      </c>
      <c r="D1198" t="s">
        <v>721</v>
      </c>
      <c r="E1198" t="s">
        <v>723</v>
      </c>
      <c r="F1198" t="s">
        <v>766</v>
      </c>
    </row>
    <row r="1199" spans="1:6" x14ac:dyDescent="0.35">
      <c r="A1199" t="s">
        <v>832</v>
      </c>
      <c r="B1199" t="s">
        <v>718</v>
      </c>
      <c r="C1199">
        <f>789/9760000</f>
        <v>8.0840163934426233E-5</v>
      </c>
      <c r="D1199" t="s">
        <v>726</v>
      </c>
      <c r="E1199" t="s">
        <v>730</v>
      </c>
      <c r="F1199" t="s">
        <v>1024</v>
      </c>
    </row>
    <row r="1200" spans="1:6" x14ac:dyDescent="0.35">
      <c r="A1200" t="s">
        <v>833</v>
      </c>
      <c r="B1200" t="s">
        <v>718</v>
      </c>
      <c r="C1200">
        <f>789/9760000</f>
        <v>8.0840163934426233E-5</v>
      </c>
      <c r="D1200" t="s">
        <v>726</v>
      </c>
      <c r="E1200" t="s">
        <v>730</v>
      </c>
      <c r="F1200" t="s">
        <v>1041</v>
      </c>
    </row>
    <row r="1201" spans="1:6" x14ac:dyDescent="0.35">
      <c r="A1201" t="s">
        <v>834</v>
      </c>
      <c r="B1201" t="s">
        <v>718</v>
      </c>
      <c r="C1201">
        <f>76/9760000</f>
        <v>7.7868852459016391E-6</v>
      </c>
      <c r="D1201" t="s">
        <v>726</v>
      </c>
      <c r="E1201" t="s">
        <v>730</v>
      </c>
      <c r="F1201" t="s">
        <v>1025</v>
      </c>
    </row>
    <row r="1202" spans="1:6" x14ac:dyDescent="0.35">
      <c r="A1202" t="s">
        <v>835</v>
      </c>
      <c r="B1202" t="s">
        <v>718</v>
      </c>
      <c r="C1202">
        <f>76/9760000</f>
        <v>7.7868852459016391E-6</v>
      </c>
      <c r="D1202" t="s">
        <v>726</v>
      </c>
      <c r="E1202" t="s">
        <v>730</v>
      </c>
      <c r="F1202" t="s">
        <v>1042</v>
      </c>
    </row>
    <row r="1203" spans="1:6" x14ac:dyDescent="0.35">
      <c r="A1203" t="s">
        <v>836</v>
      </c>
      <c r="B1203" t="s">
        <v>718</v>
      </c>
      <c r="C1203">
        <f>7560/5050000</f>
        <v>1.497029702970297E-3</v>
      </c>
      <c r="D1203" t="s">
        <v>726</v>
      </c>
      <c r="E1203" t="s">
        <v>730</v>
      </c>
      <c r="F1203" t="s">
        <v>1026</v>
      </c>
    </row>
    <row r="1204" spans="1:6" x14ac:dyDescent="0.35">
      <c r="A1204" t="s">
        <v>837</v>
      </c>
      <c r="B1204" t="s">
        <v>718</v>
      </c>
      <c r="C1204">
        <f>7560/5050000</f>
        <v>1.497029702970297E-3</v>
      </c>
      <c r="D1204" t="s">
        <v>726</v>
      </c>
      <c r="E1204" t="s">
        <v>730</v>
      </c>
      <c r="F1204" t="s">
        <v>1043</v>
      </c>
    </row>
    <row r="1205" spans="1:6" x14ac:dyDescent="0.35">
      <c r="A1205" t="s">
        <v>838</v>
      </c>
      <c r="B1205" t="s">
        <v>718</v>
      </c>
      <c r="C1205">
        <f>1966/9740000</f>
        <v>2.0184804928131416E-4</v>
      </c>
      <c r="D1205" t="s">
        <v>726</v>
      </c>
      <c r="E1205" t="s">
        <v>730</v>
      </c>
      <c r="F1205" t="s">
        <v>1027</v>
      </c>
    </row>
    <row r="1206" spans="1:6" x14ac:dyDescent="0.35">
      <c r="A1206" t="s">
        <v>839</v>
      </c>
      <c r="B1206" t="s">
        <v>718</v>
      </c>
      <c r="C1206">
        <f>1966/9740000</f>
        <v>2.0184804928131416E-4</v>
      </c>
      <c r="D1206" t="s">
        <v>726</v>
      </c>
      <c r="E1206" t="s">
        <v>730</v>
      </c>
      <c r="F1206" t="s">
        <v>1044</v>
      </c>
    </row>
    <row r="1207" spans="1:6" x14ac:dyDescent="0.35">
      <c r="A1207" t="s">
        <v>6</v>
      </c>
      <c r="B1207" t="s">
        <v>845</v>
      </c>
      <c r="C1207">
        <f>1 * 3.6 / 14.55</f>
        <v>0.24742268041237112</v>
      </c>
      <c r="D1207" t="s">
        <v>721</v>
      </c>
      <c r="E1207" t="s">
        <v>723</v>
      </c>
      <c r="F1207" t="s">
        <v>734</v>
      </c>
    </row>
    <row r="1208" spans="1:6" x14ac:dyDescent="0.35">
      <c r="A1208" t="s">
        <v>7</v>
      </c>
      <c r="B1208" t="s">
        <v>845</v>
      </c>
      <c r="C1208">
        <f>1 / 8.22</f>
        <v>0.121654501216545</v>
      </c>
      <c r="D1208" t="s">
        <v>721</v>
      </c>
      <c r="E1208" t="s">
        <v>723</v>
      </c>
      <c r="F1208" t="s">
        <v>735</v>
      </c>
    </row>
    <row r="1209" spans="1:6" x14ac:dyDescent="0.35">
      <c r="A1209" t="s">
        <v>27</v>
      </c>
      <c r="B1209" t="s">
        <v>845</v>
      </c>
      <c r="C1209">
        <f>1 * 3.6 / 42.5</f>
        <v>8.4705882352941173E-2</v>
      </c>
      <c r="D1209" t="s">
        <v>721</v>
      </c>
      <c r="E1209" t="s">
        <v>723</v>
      </c>
      <c r="F1209" t="s">
        <v>742</v>
      </c>
    </row>
    <row r="1210" spans="1:6" x14ac:dyDescent="0.35">
      <c r="A1210" t="s">
        <v>53</v>
      </c>
      <c r="B1210" t="s">
        <v>845</v>
      </c>
      <c r="C1210">
        <f>1 / 10.5</f>
        <v>9.5238095238095233E-2</v>
      </c>
      <c r="D1210" t="s">
        <v>721</v>
      </c>
      <c r="E1210" t="s">
        <v>723</v>
      </c>
      <c r="F1210" t="s">
        <v>744</v>
      </c>
    </row>
    <row r="1211" spans="1:6" x14ac:dyDescent="0.35">
      <c r="A1211" t="s">
        <v>150</v>
      </c>
      <c r="B1211" t="s">
        <v>845</v>
      </c>
      <c r="C1211">
        <f>1 * 3.6 / 27.91</f>
        <v>0.12898602651379434</v>
      </c>
      <c r="D1211" t="s">
        <v>721</v>
      </c>
      <c r="E1211" t="s">
        <v>723</v>
      </c>
      <c r="F1211" t="s">
        <v>753</v>
      </c>
    </row>
    <row r="1212" spans="1:6" x14ac:dyDescent="0.35">
      <c r="A1212" t="s">
        <v>227</v>
      </c>
      <c r="B1212" t="s">
        <v>845</v>
      </c>
      <c r="C1212">
        <f>1 / 11.83</f>
        <v>8.453085376162299E-2</v>
      </c>
      <c r="D1212" t="s">
        <v>721</v>
      </c>
      <c r="E1212" t="s">
        <v>723</v>
      </c>
      <c r="F1212" t="s">
        <v>761</v>
      </c>
    </row>
    <row r="1213" spans="1:6" x14ac:dyDescent="0.35">
      <c r="A1213" t="s">
        <v>232</v>
      </c>
      <c r="B1213" t="s">
        <v>845</v>
      </c>
      <c r="C1213">
        <f>1</f>
        <v>1</v>
      </c>
      <c r="D1213" t="s">
        <v>723</v>
      </c>
      <c r="E1213" t="s">
        <v>723</v>
      </c>
    </row>
    <row r="1214" spans="1:6" x14ac:dyDescent="0.35">
      <c r="A1214" t="s">
        <v>852</v>
      </c>
      <c r="B1214" t="s">
        <v>845</v>
      </c>
      <c r="C1214">
        <f>1</f>
        <v>1</v>
      </c>
      <c r="D1214" t="s">
        <v>723</v>
      </c>
      <c r="E1214" t="s">
        <v>723</v>
      </c>
    </row>
    <row r="1215" spans="1:6" x14ac:dyDescent="0.35">
      <c r="A1215" t="s">
        <v>853</v>
      </c>
      <c r="B1215" t="s">
        <v>845</v>
      </c>
      <c r="C1215">
        <f>1</f>
        <v>1</v>
      </c>
      <c r="D1215" t="s">
        <v>723</v>
      </c>
      <c r="E1215" t="s">
        <v>723</v>
      </c>
    </row>
    <row r="1216" spans="1:6" x14ac:dyDescent="0.35">
      <c r="A1216" t="s">
        <v>854</v>
      </c>
      <c r="B1216" t="s">
        <v>845</v>
      </c>
      <c r="C1216">
        <f>1</f>
        <v>1</v>
      </c>
      <c r="D1216" t="s">
        <v>723</v>
      </c>
      <c r="E1216" t="s">
        <v>723</v>
      </c>
    </row>
    <row r="1217" spans="1:6" x14ac:dyDescent="0.35">
      <c r="A1217" t="s">
        <v>236</v>
      </c>
      <c r="B1217" t="s">
        <v>845</v>
      </c>
      <c r="C1217">
        <f>1 / 13.28</f>
        <v>7.5301204819277115E-2</v>
      </c>
      <c r="D1217" t="s">
        <v>721</v>
      </c>
      <c r="E1217" t="s">
        <v>723</v>
      </c>
      <c r="F1217" t="s">
        <v>763</v>
      </c>
    </row>
    <row r="1218" spans="1:6" x14ac:dyDescent="0.35">
      <c r="A1218" t="s">
        <v>240</v>
      </c>
      <c r="B1218" t="s">
        <v>845</v>
      </c>
      <c r="C1218">
        <f>1 * 3.6 / 31.58</f>
        <v>0.11399620012666245</v>
      </c>
      <c r="D1218" t="s">
        <v>721</v>
      </c>
      <c r="E1218" t="s">
        <v>723</v>
      </c>
      <c r="F1218" t="s">
        <v>766</v>
      </c>
    </row>
    <row r="1219" spans="1:6" x14ac:dyDescent="0.35">
      <c r="A1219" t="s">
        <v>242</v>
      </c>
      <c r="B1219" t="s">
        <v>845</v>
      </c>
      <c r="C1219">
        <f>1 * 3.6 / 40.938</f>
        <v>8.7937857247545062E-2</v>
      </c>
      <c r="D1219" t="s">
        <v>721</v>
      </c>
      <c r="E1219" t="s">
        <v>723</v>
      </c>
      <c r="F1219" t="s">
        <v>768</v>
      </c>
    </row>
    <row r="1220" spans="1:6" x14ac:dyDescent="0.35">
      <c r="A1220" t="s">
        <v>243</v>
      </c>
      <c r="B1220" t="s">
        <v>845</v>
      </c>
      <c r="C1220">
        <f>1 * 3.6 / 50.285</f>
        <v>7.1591926021676452E-2</v>
      </c>
      <c r="D1220" t="s">
        <v>721</v>
      </c>
      <c r="E1220" t="s">
        <v>723</v>
      </c>
      <c r="F1220" t="s">
        <v>769</v>
      </c>
    </row>
    <row r="1221" spans="1:6" x14ac:dyDescent="0.35">
      <c r="A1221" t="s">
        <v>255</v>
      </c>
      <c r="B1221" t="s">
        <v>845</v>
      </c>
      <c r="C1221">
        <f>1 * 3.6 / 42.5</f>
        <v>8.4705882352941173E-2</v>
      </c>
      <c r="D1221" t="s">
        <v>721</v>
      </c>
      <c r="E1221" t="s">
        <v>723</v>
      </c>
      <c r="F1221" t="s">
        <v>776</v>
      </c>
    </row>
    <row r="1222" spans="1:6" x14ac:dyDescent="0.35">
      <c r="A1222" t="s">
        <v>262</v>
      </c>
      <c r="B1222" t="s">
        <v>845</v>
      </c>
      <c r="C1222">
        <f>1 / 33.3</f>
        <v>3.0030030030030033E-2</v>
      </c>
      <c r="D1222" t="s">
        <v>721</v>
      </c>
      <c r="E1222" t="s">
        <v>723</v>
      </c>
      <c r="F1222" t="s">
        <v>778</v>
      </c>
    </row>
    <row r="1223" spans="1:6" x14ac:dyDescent="0.35">
      <c r="A1223" t="s">
        <v>269</v>
      </c>
      <c r="B1223" t="s">
        <v>845</v>
      </c>
      <c r="C1223">
        <f>1 / 33.3</f>
        <v>3.0030030030030033E-2</v>
      </c>
      <c r="D1223" t="s">
        <v>721</v>
      </c>
      <c r="E1223" t="s">
        <v>723</v>
      </c>
      <c r="F1223" t="s">
        <v>778</v>
      </c>
    </row>
    <row r="1224" spans="1:6" x14ac:dyDescent="0.35">
      <c r="A1224" t="s">
        <v>270</v>
      </c>
      <c r="B1224" t="s">
        <v>845</v>
      </c>
      <c r="C1224">
        <f>1 / 33.3</f>
        <v>3.0030030030030033E-2</v>
      </c>
      <c r="D1224" t="s">
        <v>721</v>
      </c>
      <c r="E1224" t="s">
        <v>723</v>
      </c>
      <c r="F1224" t="s">
        <v>778</v>
      </c>
    </row>
    <row r="1225" spans="1:6" x14ac:dyDescent="0.35">
      <c r="A1225" t="s">
        <v>271</v>
      </c>
      <c r="B1225" t="s">
        <v>845</v>
      </c>
      <c r="C1225">
        <f>1 / 33.3</f>
        <v>3.0030030030030033E-2</v>
      </c>
      <c r="D1225" t="s">
        <v>721</v>
      </c>
      <c r="E1225" t="s">
        <v>723</v>
      </c>
      <c r="F1225" t="s">
        <v>778</v>
      </c>
    </row>
    <row r="1226" spans="1:6" x14ac:dyDescent="0.35">
      <c r="A1226" t="s">
        <v>307</v>
      </c>
      <c r="B1226" t="s">
        <v>845</v>
      </c>
      <c r="C1226">
        <f>1 * 3.6 / 43</f>
        <v>8.3720930232558138E-2</v>
      </c>
      <c r="D1226" t="s">
        <v>721</v>
      </c>
      <c r="E1226" t="s">
        <v>723</v>
      </c>
      <c r="F1226" t="s">
        <v>782</v>
      </c>
    </row>
    <row r="1227" spans="1:6" x14ac:dyDescent="0.35">
      <c r="A1227" t="s">
        <v>326</v>
      </c>
      <c r="B1227" t="s">
        <v>845</v>
      </c>
      <c r="C1227">
        <f>1 * 3.6 / 42.6</f>
        <v>8.4507042253521125E-2</v>
      </c>
      <c r="D1227" t="s">
        <v>721</v>
      </c>
      <c r="E1227" t="s">
        <v>723</v>
      </c>
      <c r="F1227" t="s">
        <v>784</v>
      </c>
    </row>
    <row r="1228" spans="1:6" x14ac:dyDescent="0.35">
      <c r="A1228" t="s">
        <v>327</v>
      </c>
      <c r="B1228" t="s">
        <v>845</v>
      </c>
      <c r="C1228">
        <f>1 * 3.6 / 39</f>
        <v>9.2307692307692313E-2</v>
      </c>
      <c r="D1228" t="s">
        <v>724</v>
      </c>
      <c r="E1228" t="s">
        <v>723</v>
      </c>
      <c r="F1228" t="s">
        <v>785</v>
      </c>
    </row>
    <row r="1229" spans="1:6" x14ac:dyDescent="0.35">
      <c r="A1229" t="s">
        <v>332</v>
      </c>
      <c r="B1229" t="s">
        <v>845</v>
      </c>
      <c r="C1229">
        <f>1 / 5.54</f>
        <v>0.18050541516245489</v>
      </c>
      <c r="D1229" t="s">
        <v>721</v>
      </c>
      <c r="E1229" t="s">
        <v>723</v>
      </c>
      <c r="F1229" t="s">
        <v>789</v>
      </c>
    </row>
    <row r="1230" spans="1:6" x14ac:dyDescent="0.35">
      <c r="A1230" t="s">
        <v>344</v>
      </c>
      <c r="B1230" t="s">
        <v>845</v>
      </c>
      <c r="C1230">
        <f>1 * 3.6 / 39</f>
        <v>9.2307692307692313E-2</v>
      </c>
      <c r="D1230" t="s">
        <v>724</v>
      </c>
      <c r="E1230" t="s">
        <v>723</v>
      </c>
      <c r="F1230" t="s">
        <v>793</v>
      </c>
    </row>
    <row r="1231" spans="1:6" x14ac:dyDescent="0.35">
      <c r="A1231" t="s">
        <v>351</v>
      </c>
      <c r="B1231" t="s">
        <v>845</v>
      </c>
      <c r="C1231">
        <f t="shared" ref="C1231:C1232" si="0">1 * 3.6 / 39</f>
        <v>9.2307692307692313E-2</v>
      </c>
      <c r="D1231" t="s">
        <v>724</v>
      </c>
      <c r="E1231" t="s">
        <v>723</v>
      </c>
      <c r="F1231" t="s">
        <v>793</v>
      </c>
    </row>
    <row r="1232" spans="1:6" x14ac:dyDescent="0.35">
      <c r="A1232" t="s">
        <v>352</v>
      </c>
      <c r="B1232" t="s">
        <v>845</v>
      </c>
      <c r="C1232">
        <f t="shared" si="0"/>
        <v>9.2307692307692313E-2</v>
      </c>
      <c r="D1232" t="s">
        <v>724</v>
      </c>
      <c r="E1232" t="s">
        <v>723</v>
      </c>
      <c r="F1232" t="s">
        <v>793</v>
      </c>
    </row>
    <row r="1233" spans="1:6" x14ac:dyDescent="0.35">
      <c r="A1233" t="s">
        <v>353</v>
      </c>
      <c r="B1233" t="s">
        <v>845</v>
      </c>
      <c r="C1233">
        <f>1 * 3.6 / 46.5</f>
        <v>7.7419354838709681E-2</v>
      </c>
      <c r="D1233" t="s">
        <v>721</v>
      </c>
      <c r="E1233" t="s">
        <v>723</v>
      </c>
      <c r="F1233" t="s">
        <v>794</v>
      </c>
    </row>
    <row r="1234" spans="1:6" x14ac:dyDescent="0.35">
      <c r="A1234" t="s">
        <v>367</v>
      </c>
      <c r="B1234" t="s">
        <v>845</v>
      </c>
      <c r="C1234">
        <f>1</f>
        <v>1</v>
      </c>
      <c r="D1234" t="s">
        <v>721</v>
      </c>
      <c r="E1234" t="s">
        <v>721</v>
      </c>
    </row>
    <row r="1235" spans="1:6" x14ac:dyDescent="0.35">
      <c r="A1235" t="s">
        <v>374</v>
      </c>
      <c r="B1235" t="s">
        <v>845</v>
      </c>
      <c r="C1235">
        <f>1</f>
        <v>1</v>
      </c>
      <c r="D1235" t="s">
        <v>721</v>
      </c>
      <c r="E1235" t="s">
        <v>721</v>
      </c>
    </row>
    <row r="1236" spans="1:6" x14ac:dyDescent="0.35">
      <c r="A1236" t="s">
        <v>376</v>
      </c>
      <c r="B1236" t="s">
        <v>845</v>
      </c>
      <c r="C1236">
        <f>1 * 3.6 / 32.45</f>
        <v>0.11093990755007703</v>
      </c>
      <c r="D1236" t="s">
        <v>721</v>
      </c>
      <c r="E1236" t="s">
        <v>723</v>
      </c>
      <c r="F1236" t="s">
        <v>799</v>
      </c>
    </row>
    <row r="1237" spans="1:6" x14ac:dyDescent="0.35">
      <c r="A1237" t="s">
        <v>381</v>
      </c>
      <c r="B1237" t="s">
        <v>845</v>
      </c>
      <c r="C1237">
        <f>1</f>
        <v>1</v>
      </c>
      <c r="D1237" t="s">
        <v>721</v>
      </c>
      <c r="E1237" t="s">
        <v>721</v>
      </c>
    </row>
    <row r="1238" spans="1:6" x14ac:dyDescent="0.35">
      <c r="A1238" t="s">
        <v>382</v>
      </c>
      <c r="B1238" t="s">
        <v>845</v>
      </c>
      <c r="C1238">
        <f>1 * 3.6 / 46.4</f>
        <v>7.7586206896551727E-2</v>
      </c>
      <c r="D1238" t="s">
        <v>721</v>
      </c>
      <c r="E1238" t="s">
        <v>723</v>
      </c>
      <c r="F1238" t="s">
        <v>803</v>
      </c>
    </row>
    <row r="1239" spans="1:6" x14ac:dyDescent="0.35">
      <c r="A1239" t="s">
        <v>383</v>
      </c>
      <c r="B1239" t="s">
        <v>845</v>
      </c>
      <c r="C1239">
        <f>1 * 3.6 / 45.799</f>
        <v>7.8604336339221384E-2</v>
      </c>
      <c r="D1239" t="s">
        <v>721</v>
      </c>
      <c r="E1239" t="s">
        <v>723</v>
      </c>
      <c r="F1239" t="s">
        <v>804</v>
      </c>
    </row>
    <row r="1240" spans="1:6" x14ac:dyDescent="0.35">
      <c r="A1240" t="s">
        <v>384</v>
      </c>
      <c r="B1240" t="s">
        <v>845</v>
      </c>
      <c r="C1240">
        <f>1</f>
        <v>1</v>
      </c>
      <c r="D1240" t="s">
        <v>721</v>
      </c>
      <c r="E1240" t="s">
        <v>721</v>
      </c>
    </row>
    <row r="1241" spans="1:6" x14ac:dyDescent="0.35">
      <c r="A1241" t="s">
        <v>385</v>
      </c>
      <c r="B1241" t="s">
        <v>845</v>
      </c>
      <c r="C1241">
        <f>1</f>
        <v>1</v>
      </c>
      <c r="D1241" t="s">
        <v>721</v>
      </c>
      <c r="E1241" t="s">
        <v>721</v>
      </c>
    </row>
    <row r="1242" spans="1:6" x14ac:dyDescent="0.35">
      <c r="A1242" t="s">
        <v>439</v>
      </c>
      <c r="B1242" t="s">
        <v>845</v>
      </c>
      <c r="C1242">
        <f>1</f>
        <v>1</v>
      </c>
      <c r="D1242" t="s">
        <v>721</v>
      </c>
      <c r="E1242" t="s">
        <v>721</v>
      </c>
    </row>
    <row r="1243" spans="1:6" x14ac:dyDescent="0.35">
      <c r="A1243" t="s">
        <v>490</v>
      </c>
      <c r="B1243" t="s">
        <v>845</v>
      </c>
      <c r="C1243">
        <f>1 * 3.6 / 42.43</f>
        <v>8.4845628093330197E-2</v>
      </c>
      <c r="D1243" t="s">
        <v>721</v>
      </c>
      <c r="E1243" t="s">
        <v>723</v>
      </c>
      <c r="F1243" t="s">
        <v>810</v>
      </c>
    </row>
    <row r="1244" spans="1:6" x14ac:dyDescent="0.35">
      <c r="A1244" t="s">
        <v>561</v>
      </c>
      <c r="B1244" t="s">
        <v>845</v>
      </c>
      <c r="C1244">
        <f>1 * 3.6 / (3900*1000)</f>
        <v>9.2307692307692312E-7</v>
      </c>
      <c r="D1244" t="s">
        <v>721</v>
      </c>
      <c r="E1244" t="s">
        <v>723</v>
      </c>
      <c r="F1244" t="s">
        <v>813</v>
      </c>
    </row>
    <row r="1245" spans="1:6" x14ac:dyDescent="0.35">
      <c r="A1245" t="s">
        <v>562</v>
      </c>
      <c r="B1245" t="s">
        <v>845</v>
      </c>
      <c r="C1245">
        <f>-1 * 3.6 / 12.35</f>
        <v>-0.29149797570850206</v>
      </c>
      <c r="D1245" t="s">
        <v>721</v>
      </c>
      <c r="E1245" t="s">
        <v>723</v>
      </c>
      <c r="F1245" t="s">
        <v>814</v>
      </c>
    </row>
    <row r="1246" spans="1:6" x14ac:dyDescent="0.35">
      <c r="A1246" t="s">
        <v>563</v>
      </c>
      <c r="B1246" t="s">
        <v>845</v>
      </c>
      <c r="C1246">
        <f>-1 * 3.6 / (6.087*0.95)</f>
        <v>-0.62255194417784243</v>
      </c>
      <c r="D1246" t="s">
        <v>721</v>
      </c>
      <c r="E1246" t="s">
        <v>723</v>
      </c>
      <c r="F1246" t="s">
        <v>815</v>
      </c>
    </row>
    <row r="1247" spans="1:6" x14ac:dyDescent="0.35">
      <c r="A1247" t="s">
        <v>564</v>
      </c>
      <c r="B1247" t="s">
        <v>845</v>
      </c>
      <c r="C1247">
        <f>-1 * 3.6 / 2.453</f>
        <v>-1.4675907052588668</v>
      </c>
      <c r="D1247" t="s">
        <v>721</v>
      </c>
      <c r="E1247" t="s">
        <v>723</v>
      </c>
      <c r="F1247" t="s">
        <v>816</v>
      </c>
    </row>
    <row r="1248" spans="1:6" x14ac:dyDescent="0.35">
      <c r="A1248" t="s">
        <v>565</v>
      </c>
      <c r="B1248" t="s">
        <v>845</v>
      </c>
      <c r="C1248">
        <f>1 * 3.6 / (0.95*15)</f>
        <v>0.25263157894736843</v>
      </c>
      <c r="D1248" t="s">
        <v>721</v>
      </c>
      <c r="E1248" t="s">
        <v>723</v>
      </c>
      <c r="F1248" t="s">
        <v>828</v>
      </c>
    </row>
    <row r="1249" spans="1:6" x14ac:dyDescent="0.35">
      <c r="A1249" t="s">
        <v>572</v>
      </c>
      <c r="B1249" t="s">
        <v>845</v>
      </c>
      <c r="C1249">
        <f>1 * 3.6 / 15.4</f>
        <v>0.23376623376623376</v>
      </c>
      <c r="D1249" t="s">
        <v>721</v>
      </c>
      <c r="E1249" t="s">
        <v>723</v>
      </c>
      <c r="F1249" t="s">
        <v>817</v>
      </c>
    </row>
    <row r="1250" spans="1:6" x14ac:dyDescent="0.35">
      <c r="A1250" t="s">
        <v>574</v>
      </c>
      <c r="B1250" t="s">
        <v>845</v>
      </c>
      <c r="C1250">
        <f>1 * 3.6 / 40.961</f>
        <v>8.788847928517371E-2</v>
      </c>
      <c r="D1250" t="s">
        <v>721</v>
      </c>
      <c r="E1250" t="s">
        <v>723</v>
      </c>
      <c r="F1250" t="s">
        <v>819</v>
      </c>
    </row>
    <row r="1251" spans="1:6" x14ac:dyDescent="0.35">
      <c r="A1251" t="s">
        <v>716</v>
      </c>
      <c r="B1251" t="s">
        <v>845</v>
      </c>
      <c r="C1251">
        <f>1 * 3.6 / 31.58</f>
        <v>0.11399620012666245</v>
      </c>
      <c r="D1251" t="s">
        <v>721</v>
      </c>
      <c r="E1251" t="s">
        <v>723</v>
      </c>
      <c r="F1251" t="s">
        <v>766</v>
      </c>
    </row>
    <row r="1252" spans="1:6" x14ac:dyDescent="0.35">
      <c r="A1252" t="s">
        <v>846</v>
      </c>
      <c r="B1252" t="s">
        <v>845</v>
      </c>
      <c r="C1252">
        <f>1 * 3.6 / 43</f>
        <v>8.3720930232558138E-2</v>
      </c>
      <c r="D1252" t="s">
        <v>721</v>
      </c>
      <c r="E1252" t="s">
        <v>723</v>
      </c>
      <c r="F1252" t="s">
        <v>782</v>
      </c>
    </row>
    <row r="1253" spans="1:6" x14ac:dyDescent="0.35">
      <c r="A1253" t="s">
        <v>847</v>
      </c>
      <c r="B1253" t="s">
        <v>845</v>
      </c>
      <c r="C1253">
        <f>1 * 3.6 / 42.6</f>
        <v>8.4507042253521125E-2</v>
      </c>
      <c r="D1253" t="s">
        <v>721</v>
      </c>
      <c r="E1253" t="s">
        <v>723</v>
      </c>
      <c r="F1253" t="s">
        <v>784</v>
      </c>
    </row>
    <row r="1254" spans="1:6" x14ac:dyDescent="0.35">
      <c r="A1254" t="s">
        <v>848</v>
      </c>
      <c r="B1254" t="s">
        <v>845</v>
      </c>
      <c r="C1254">
        <f>1 / 5.54</f>
        <v>0.18050541516245489</v>
      </c>
      <c r="D1254" t="s">
        <v>721</v>
      </c>
      <c r="E1254" t="s">
        <v>723</v>
      </c>
      <c r="F1254" t="s">
        <v>789</v>
      </c>
    </row>
    <row r="1255" spans="1:6" x14ac:dyDescent="0.35">
      <c r="A1255" t="s">
        <v>428</v>
      </c>
      <c r="B1255" t="s">
        <v>845</v>
      </c>
      <c r="C1255">
        <f>1 * 3.6 / 39</f>
        <v>9.2307692307692313E-2</v>
      </c>
      <c r="D1255" t="s">
        <v>724</v>
      </c>
      <c r="E1255" t="s">
        <v>723</v>
      </c>
      <c r="F1255" t="s">
        <v>793</v>
      </c>
    </row>
    <row r="1256" spans="1:6" x14ac:dyDescent="0.35">
      <c r="A1256" t="s">
        <v>849</v>
      </c>
      <c r="B1256" t="s">
        <v>845</v>
      </c>
      <c r="C1256">
        <f>1 / (0.777 * 13.1)</f>
        <v>9.8244373053533368E-2</v>
      </c>
      <c r="D1256" t="s">
        <v>724</v>
      </c>
      <c r="E1256" t="s">
        <v>723</v>
      </c>
      <c r="F1256" t="s">
        <v>793</v>
      </c>
    </row>
    <row r="1257" spans="1:6" x14ac:dyDescent="0.35">
      <c r="A1257" t="s">
        <v>851</v>
      </c>
      <c r="B1257" t="s">
        <v>845</v>
      </c>
      <c r="C1257">
        <f>1 / (0.777 * 13.1)</f>
        <v>9.8244373053533368E-2</v>
      </c>
      <c r="D1257" t="s">
        <v>724</v>
      </c>
      <c r="E1257" t="s">
        <v>723</v>
      </c>
      <c r="F1257" t="s">
        <v>793</v>
      </c>
    </row>
    <row r="1258" spans="1:6" x14ac:dyDescent="0.35">
      <c r="A1258" t="s">
        <v>850</v>
      </c>
      <c r="B1258" t="s">
        <v>845</v>
      </c>
      <c r="C1258">
        <f>1 / (0.777 * 13.1)</f>
        <v>9.8244373053533368E-2</v>
      </c>
      <c r="D1258" t="s">
        <v>724</v>
      </c>
      <c r="E1258" t="s">
        <v>723</v>
      </c>
      <c r="F1258" t="s">
        <v>793</v>
      </c>
    </row>
    <row r="1259" spans="1:6" x14ac:dyDescent="0.35">
      <c r="A1259" t="s">
        <v>855</v>
      </c>
      <c r="B1259" t="s">
        <v>845</v>
      </c>
      <c r="C1259">
        <f>1 * 3.6</f>
        <v>3.6</v>
      </c>
      <c r="D1259" t="s">
        <v>727</v>
      </c>
      <c r="E1259" t="s">
        <v>723</v>
      </c>
    </row>
    <row r="1260" spans="1:6" x14ac:dyDescent="0.35">
      <c r="A1260" t="s">
        <v>1022</v>
      </c>
      <c r="B1260" t="s">
        <v>845</v>
      </c>
      <c r="C1260">
        <f>1 * 3.6</f>
        <v>3.6</v>
      </c>
      <c r="D1260" t="s">
        <v>727</v>
      </c>
      <c r="E1260" t="s">
        <v>723</v>
      </c>
    </row>
    <row r="1261" spans="1:6" x14ac:dyDescent="0.35">
      <c r="A1261" t="s">
        <v>856</v>
      </c>
      <c r="B1261" t="s">
        <v>845</v>
      </c>
      <c r="C1261">
        <v>1</v>
      </c>
      <c r="D1261" t="s">
        <v>721</v>
      </c>
      <c r="E1261" t="s">
        <v>721</v>
      </c>
    </row>
    <row r="1262" spans="1:6" x14ac:dyDescent="0.35">
      <c r="A1262" t="s">
        <v>857</v>
      </c>
      <c r="B1262" t="s">
        <v>845</v>
      </c>
      <c r="C1262">
        <v>1</v>
      </c>
      <c r="D1262" t="s">
        <v>721</v>
      </c>
      <c r="E1262" t="s">
        <v>721</v>
      </c>
    </row>
    <row r="1263" spans="1:6" x14ac:dyDescent="0.35">
      <c r="A1263" t="s">
        <v>1023</v>
      </c>
      <c r="B1263" t="s">
        <v>845</v>
      </c>
      <c r="C1263">
        <v>1</v>
      </c>
      <c r="D1263" t="s">
        <v>721</v>
      </c>
      <c r="E1263" t="s">
        <v>721</v>
      </c>
    </row>
    <row r="1264" spans="1:6" x14ac:dyDescent="0.35">
      <c r="A1264" t="s">
        <v>864</v>
      </c>
      <c r="B1264" t="s">
        <v>717</v>
      </c>
      <c r="C1264">
        <f>3.6/18.43</f>
        <v>0.19533369506239828</v>
      </c>
      <c r="D1264" t="s">
        <v>721</v>
      </c>
      <c r="E1264" t="s">
        <v>723</v>
      </c>
      <c r="F1264" t="s">
        <v>1005</v>
      </c>
    </row>
    <row r="1265" spans="1:6" x14ac:dyDescent="0.35">
      <c r="A1265" t="s">
        <v>865</v>
      </c>
      <c r="B1265" t="s">
        <v>717</v>
      </c>
      <c r="C1265">
        <f>3.6/18.61</f>
        <v>0.19344438473938744</v>
      </c>
      <c r="D1265" t="s">
        <v>721</v>
      </c>
      <c r="E1265" t="s">
        <v>723</v>
      </c>
      <c r="F1265" t="s">
        <v>1006</v>
      </c>
    </row>
    <row r="1266" spans="1:6" x14ac:dyDescent="0.35">
      <c r="A1266" t="s">
        <v>866</v>
      </c>
      <c r="B1266" t="s">
        <v>717</v>
      </c>
      <c r="C1266">
        <f>3.6/19.06</f>
        <v>0.1888772298006296</v>
      </c>
      <c r="D1266" t="s">
        <v>721</v>
      </c>
      <c r="E1266" t="s">
        <v>723</v>
      </c>
      <c r="F1266" t="s">
        <v>1007</v>
      </c>
    </row>
    <row r="1267" spans="1:6" x14ac:dyDescent="0.35">
      <c r="A1267" t="s">
        <v>867</v>
      </c>
      <c r="B1267" t="s">
        <v>717</v>
      </c>
      <c r="C1267">
        <f>3.6/18.93</f>
        <v>0.19017432646592711</v>
      </c>
      <c r="D1267" t="s">
        <v>721</v>
      </c>
      <c r="E1267" t="s">
        <v>723</v>
      </c>
      <c r="F1267" t="s">
        <v>1008</v>
      </c>
    </row>
    <row r="1268" spans="1:6" x14ac:dyDescent="0.35">
      <c r="A1268" t="s">
        <v>868</v>
      </c>
      <c r="B1268" t="s">
        <v>717</v>
      </c>
      <c r="C1268">
        <f>3.6 / 7.09</f>
        <v>0.50775740479548659</v>
      </c>
      <c r="D1268" t="s">
        <v>721</v>
      </c>
      <c r="E1268" t="s">
        <v>723</v>
      </c>
      <c r="F1268" t="s">
        <v>1009</v>
      </c>
    </row>
    <row r="1269" spans="1:6" x14ac:dyDescent="0.35">
      <c r="A1269" t="s">
        <v>869</v>
      </c>
      <c r="B1269" t="s">
        <v>717</v>
      </c>
      <c r="C1269">
        <f>3.6/15.34</f>
        <v>0.23468057366362452</v>
      </c>
      <c r="D1269" t="s">
        <v>721</v>
      </c>
      <c r="E1269" t="s">
        <v>723</v>
      </c>
      <c r="F1269" t="s">
        <v>1010</v>
      </c>
    </row>
    <row r="1270" spans="1:6" x14ac:dyDescent="0.35">
      <c r="A1270" t="s">
        <v>870</v>
      </c>
      <c r="B1270" t="s">
        <v>717</v>
      </c>
      <c r="C1270">
        <f>-1 * 3.6 / 17.09</f>
        <v>-0.2106495026331188</v>
      </c>
      <c r="D1270" t="s">
        <v>721</v>
      </c>
      <c r="E1270" t="s">
        <v>723</v>
      </c>
      <c r="F1270" t="s">
        <v>1011</v>
      </c>
    </row>
    <row r="1271" spans="1:6" x14ac:dyDescent="0.35">
      <c r="A1271" t="s">
        <v>871</v>
      </c>
      <c r="B1271" t="s">
        <v>717</v>
      </c>
      <c r="C1271">
        <f>3.6/15.98</f>
        <v>0.22528160200250313</v>
      </c>
      <c r="D1271" t="s">
        <v>721</v>
      </c>
      <c r="E1271" t="s">
        <v>723</v>
      </c>
      <c r="F1271" t="s">
        <v>1012</v>
      </c>
    </row>
    <row r="1272" spans="1:6" x14ac:dyDescent="0.35">
      <c r="A1272" t="s">
        <v>872</v>
      </c>
      <c r="B1272" t="s">
        <v>717</v>
      </c>
      <c r="C1272">
        <f>-1 * 3.6 / 11.24</f>
        <v>-0.32028469750889682</v>
      </c>
      <c r="D1272" t="s">
        <v>721</v>
      </c>
      <c r="E1272" t="s">
        <v>723</v>
      </c>
      <c r="F1272" t="s">
        <v>1014</v>
      </c>
    </row>
    <row r="1273" spans="1:6" x14ac:dyDescent="0.35">
      <c r="A1273" t="s">
        <v>873</v>
      </c>
      <c r="B1273" t="s">
        <v>717</v>
      </c>
      <c r="C1273">
        <f>3.6/18.63</f>
        <v>0.19323671497584544</v>
      </c>
      <c r="D1273" t="s">
        <v>721</v>
      </c>
      <c r="E1273" t="s">
        <v>723</v>
      </c>
      <c r="F1273" t="s">
        <v>1013</v>
      </c>
    </row>
    <row r="1274" spans="1:6" x14ac:dyDescent="0.35">
      <c r="A1274" t="s">
        <v>874</v>
      </c>
      <c r="B1274" t="s">
        <v>717</v>
      </c>
      <c r="C1274">
        <f>-1 * 3.6 / 7.64</f>
        <v>-0.47120418848167545</v>
      </c>
      <c r="D1274" t="s">
        <v>721</v>
      </c>
      <c r="E1274" t="s">
        <v>723</v>
      </c>
      <c r="F1274" t="s">
        <v>1015</v>
      </c>
    </row>
    <row r="1275" spans="1:6" x14ac:dyDescent="0.35">
      <c r="A1275" t="s">
        <v>864</v>
      </c>
      <c r="B1275" t="s">
        <v>845</v>
      </c>
      <c r="C1275">
        <f>3.6/18.43</f>
        <v>0.19533369506239828</v>
      </c>
      <c r="D1275" t="s">
        <v>721</v>
      </c>
      <c r="E1275" t="s">
        <v>723</v>
      </c>
      <c r="F1275" t="s">
        <v>1005</v>
      </c>
    </row>
    <row r="1276" spans="1:6" x14ac:dyDescent="0.35">
      <c r="A1276" t="s">
        <v>865</v>
      </c>
      <c r="B1276" t="s">
        <v>845</v>
      </c>
      <c r="C1276">
        <f>3.6/18.61</f>
        <v>0.19344438473938744</v>
      </c>
      <c r="D1276" t="s">
        <v>721</v>
      </c>
      <c r="E1276" t="s">
        <v>723</v>
      </c>
      <c r="F1276" t="s">
        <v>1006</v>
      </c>
    </row>
    <row r="1277" spans="1:6" x14ac:dyDescent="0.35">
      <c r="A1277" t="s">
        <v>866</v>
      </c>
      <c r="B1277" t="s">
        <v>845</v>
      </c>
      <c r="C1277">
        <f>3.6/19.06</f>
        <v>0.1888772298006296</v>
      </c>
      <c r="D1277" t="s">
        <v>721</v>
      </c>
      <c r="E1277" t="s">
        <v>723</v>
      </c>
      <c r="F1277" t="s">
        <v>1007</v>
      </c>
    </row>
    <row r="1278" spans="1:6" x14ac:dyDescent="0.35">
      <c r="A1278" t="s">
        <v>867</v>
      </c>
      <c r="B1278" t="s">
        <v>845</v>
      </c>
      <c r="C1278">
        <f>3.6/18.93</f>
        <v>0.19017432646592711</v>
      </c>
      <c r="D1278" t="s">
        <v>721</v>
      </c>
      <c r="E1278" t="s">
        <v>723</v>
      </c>
      <c r="F1278" t="s">
        <v>1008</v>
      </c>
    </row>
    <row r="1279" spans="1:6" x14ac:dyDescent="0.35">
      <c r="A1279" t="s">
        <v>868</v>
      </c>
      <c r="B1279" t="s">
        <v>845</v>
      </c>
      <c r="C1279">
        <f>3.6 / 7.09</f>
        <v>0.50775740479548659</v>
      </c>
      <c r="D1279" t="s">
        <v>721</v>
      </c>
      <c r="E1279" t="s">
        <v>723</v>
      </c>
      <c r="F1279" t="s">
        <v>1009</v>
      </c>
    </row>
    <row r="1280" spans="1:6" x14ac:dyDescent="0.35">
      <c r="A1280" t="s">
        <v>869</v>
      </c>
      <c r="B1280" t="s">
        <v>845</v>
      </c>
      <c r="C1280">
        <f>3.6/15.34</f>
        <v>0.23468057366362452</v>
      </c>
      <c r="D1280" t="s">
        <v>721</v>
      </c>
      <c r="E1280" t="s">
        <v>723</v>
      </c>
      <c r="F1280" t="s">
        <v>1010</v>
      </c>
    </row>
    <row r="1281" spans="1:6" x14ac:dyDescent="0.35">
      <c r="A1281" t="s">
        <v>870</v>
      </c>
      <c r="B1281" t="s">
        <v>845</v>
      </c>
      <c r="C1281">
        <f>-1 * 3.6 / 17.09</f>
        <v>-0.2106495026331188</v>
      </c>
      <c r="D1281" t="s">
        <v>721</v>
      </c>
      <c r="E1281" t="s">
        <v>723</v>
      </c>
      <c r="F1281" t="s">
        <v>1011</v>
      </c>
    </row>
    <row r="1282" spans="1:6" x14ac:dyDescent="0.35">
      <c r="A1282" t="s">
        <v>871</v>
      </c>
      <c r="B1282" t="s">
        <v>845</v>
      </c>
      <c r="C1282">
        <f>3.6/15.98</f>
        <v>0.22528160200250313</v>
      </c>
      <c r="D1282" t="s">
        <v>721</v>
      </c>
      <c r="E1282" t="s">
        <v>723</v>
      </c>
      <c r="F1282" t="s">
        <v>1012</v>
      </c>
    </row>
    <row r="1283" spans="1:6" x14ac:dyDescent="0.35">
      <c r="A1283" t="s">
        <v>872</v>
      </c>
      <c r="B1283" t="s">
        <v>845</v>
      </c>
      <c r="C1283">
        <f>-1 * 3.6 / 11.24</f>
        <v>-0.32028469750889682</v>
      </c>
      <c r="D1283" t="s">
        <v>721</v>
      </c>
      <c r="E1283" t="s">
        <v>723</v>
      </c>
      <c r="F1283" t="s">
        <v>1014</v>
      </c>
    </row>
    <row r="1284" spans="1:6" x14ac:dyDescent="0.35">
      <c r="A1284" t="s">
        <v>873</v>
      </c>
      <c r="B1284" t="s">
        <v>845</v>
      </c>
      <c r="C1284">
        <f>3.6/18.63</f>
        <v>0.19323671497584544</v>
      </c>
      <c r="D1284" t="s">
        <v>721</v>
      </c>
      <c r="E1284" t="s">
        <v>723</v>
      </c>
      <c r="F1284" t="s">
        <v>1013</v>
      </c>
    </row>
    <row r="1285" spans="1:6" x14ac:dyDescent="0.35">
      <c r="A1285" t="s">
        <v>874</v>
      </c>
      <c r="B1285" t="s">
        <v>845</v>
      </c>
      <c r="C1285">
        <f>-1 * 3.6 / 7.64</f>
        <v>-0.47120418848167545</v>
      </c>
      <c r="D1285" t="s">
        <v>721</v>
      </c>
      <c r="E1285" t="s">
        <v>723</v>
      </c>
      <c r="F1285" t="s">
        <v>1015</v>
      </c>
    </row>
    <row r="1286" spans="1:6" x14ac:dyDescent="0.35">
      <c r="A1286" t="s">
        <v>983</v>
      </c>
      <c r="B1286" t="s">
        <v>717</v>
      </c>
      <c r="C1286">
        <f>1/10.83</f>
        <v>9.2336103416435819E-2</v>
      </c>
      <c r="D1286" t="s">
        <v>721</v>
      </c>
      <c r="E1286" t="s">
        <v>723</v>
      </c>
      <c r="F1286" t="s">
        <v>984</v>
      </c>
    </row>
    <row r="1287" spans="1:6" x14ac:dyDescent="0.35">
      <c r="A1287" t="s">
        <v>983</v>
      </c>
      <c r="B1287" t="s">
        <v>845</v>
      </c>
      <c r="C1287">
        <f>1/10.83</f>
        <v>9.2336103416435819E-2</v>
      </c>
      <c r="D1287" t="s">
        <v>721</v>
      </c>
      <c r="E1287" t="s">
        <v>723</v>
      </c>
      <c r="F1287" t="s">
        <v>984</v>
      </c>
    </row>
    <row r="1288" spans="1:6" x14ac:dyDescent="0.35">
      <c r="A1288" t="s">
        <v>985</v>
      </c>
      <c r="B1288" t="s">
        <v>717</v>
      </c>
      <c r="C1288">
        <f>1/10.83</f>
        <v>9.2336103416435819E-2</v>
      </c>
      <c r="D1288" t="s">
        <v>721</v>
      </c>
      <c r="E1288" t="s">
        <v>723</v>
      </c>
      <c r="F1288" t="s">
        <v>984</v>
      </c>
    </row>
    <row r="1289" spans="1:6" x14ac:dyDescent="0.35">
      <c r="A1289" t="s">
        <v>985</v>
      </c>
      <c r="B1289" t="s">
        <v>845</v>
      </c>
      <c r="C1289">
        <f>1/10.83</f>
        <v>9.2336103416435819E-2</v>
      </c>
      <c r="D1289" t="s">
        <v>721</v>
      </c>
      <c r="E1289" t="s">
        <v>723</v>
      </c>
      <c r="F1289" t="s">
        <v>984</v>
      </c>
    </row>
    <row r="1290" spans="1:6" x14ac:dyDescent="0.35">
      <c r="A1290" t="s">
        <v>986</v>
      </c>
      <c r="B1290" t="s">
        <v>718</v>
      </c>
      <c r="C1290" s="2">
        <f>8760 * 0.7 / (7200 * 1000000)</f>
        <v>8.5166666666666663E-7</v>
      </c>
      <c r="D1290" t="s">
        <v>722</v>
      </c>
      <c r="E1290" t="s">
        <v>733</v>
      </c>
      <c r="F1290" t="s">
        <v>987</v>
      </c>
    </row>
    <row r="1291" spans="1:6" x14ac:dyDescent="0.35">
      <c r="A1291" t="s">
        <v>986</v>
      </c>
      <c r="B1291" t="s">
        <v>719</v>
      </c>
      <c r="C1291">
        <v>1</v>
      </c>
      <c r="D1291" t="s">
        <v>729</v>
      </c>
      <c r="E1291" t="s">
        <v>729</v>
      </c>
    </row>
    <row r="1292" spans="1:6" x14ac:dyDescent="0.35">
      <c r="A1292" t="s">
        <v>988</v>
      </c>
      <c r="B1292" t="s">
        <v>718</v>
      </c>
      <c r="C1292" s="2">
        <f>8760 * 0.7 / (7200 * 1000000)</f>
        <v>8.5166666666666663E-7</v>
      </c>
      <c r="D1292" t="s">
        <v>722</v>
      </c>
      <c r="E1292" t="s">
        <v>733</v>
      </c>
      <c r="F1292" t="s">
        <v>987</v>
      </c>
    </row>
    <row r="1293" spans="1:6" x14ac:dyDescent="0.35">
      <c r="A1293" t="s">
        <v>988</v>
      </c>
      <c r="B1293" t="s">
        <v>719</v>
      </c>
      <c r="C1293">
        <v>1</v>
      </c>
      <c r="D1293" t="s">
        <v>729</v>
      </c>
      <c r="E1293" t="s">
        <v>729</v>
      </c>
    </row>
    <row r="1294" spans="1:6" x14ac:dyDescent="0.35">
      <c r="A1294" t="s">
        <v>989</v>
      </c>
      <c r="B1294" t="s">
        <v>718</v>
      </c>
      <c r="C1294" s="2">
        <f>8760 * 0.48 / (4100 * 1000000)</f>
        <v>1.0255609756097561E-6</v>
      </c>
      <c r="D1294" t="s">
        <v>722</v>
      </c>
      <c r="E1294" t="s">
        <v>733</v>
      </c>
      <c r="F1294" t="s">
        <v>990</v>
      </c>
    </row>
    <row r="1295" spans="1:6" x14ac:dyDescent="0.35">
      <c r="A1295" t="s">
        <v>989</v>
      </c>
      <c r="B1295" t="s">
        <v>719</v>
      </c>
      <c r="C1295">
        <v>1</v>
      </c>
      <c r="D1295" t="s">
        <v>729</v>
      </c>
      <c r="E1295" t="s">
        <v>729</v>
      </c>
    </row>
    <row r="1296" spans="1:6" x14ac:dyDescent="0.35">
      <c r="A1296" t="s">
        <v>991</v>
      </c>
      <c r="B1296" t="s">
        <v>718</v>
      </c>
      <c r="C1296" s="2">
        <f>8760 * 0.48 / (4100 * 1000000)</f>
        <v>1.0255609756097561E-6</v>
      </c>
      <c r="D1296" t="s">
        <v>722</v>
      </c>
      <c r="E1296" t="s">
        <v>733</v>
      </c>
      <c r="F1296" t="s">
        <v>990</v>
      </c>
    </row>
    <row r="1297" spans="1:6" x14ac:dyDescent="0.35">
      <c r="A1297" t="s">
        <v>991</v>
      </c>
      <c r="B1297" t="s">
        <v>719</v>
      </c>
      <c r="C1297">
        <v>1</v>
      </c>
      <c r="D1297" t="s">
        <v>729</v>
      </c>
      <c r="E1297" t="s">
        <v>729</v>
      </c>
    </row>
    <row r="1298" spans="1:6" x14ac:dyDescent="0.35">
      <c r="A1298" t="s">
        <v>992</v>
      </c>
      <c r="B1298" t="s">
        <v>718</v>
      </c>
      <c r="C1298" s="2">
        <f>8760 * 0.53 / (5100 * 1000000)</f>
        <v>9.103529411764706E-7</v>
      </c>
      <c r="D1298" t="s">
        <v>722</v>
      </c>
      <c r="E1298" t="s">
        <v>733</v>
      </c>
      <c r="F1298" t="s">
        <v>993</v>
      </c>
    </row>
    <row r="1299" spans="1:6" x14ac:dyDescent="0.35">
      <c r="A1299" t="s">
        <v>992</v>
      </c>
      <c r="B1299" t="s">
        <v>719</v>
      </c>
      <c r="C1299">
        <v>1</v>
      </c>
      <c r="D1299" t="s">
        <v>729</v>
      </c>
      <c r="E1299" t="s">
        <v>729</v>
      </c>
    </row>
    <row r="1300" spans="1:6" x14ac:dyDescent="0.35">
      <c r="A1300" t="s">
        <v>994</v>
      </c>
      <c r="B1300" t="s">
        <v>718</v>
      </c>
      <c r="C1300" s="2">
        <f>8760 * 0.53 / (5100 * 1000000)</f>
        <v>9.103529411764706E-7</v>
      </c>
      <c r="D1300" t="s">
        <v>722</v>
      </c>
      <c r="E1300" t="s">
        <v>733</v>
      </c>
      <c r="F1300" t="s">
        <v>993</v>
      </c>
    </row>
    <row r="1301" spans="1:6" x14ac:dyDescent="0.35">
      <c r="A1301" t="s">
        <v>994</v>
      </c>
      <c r="B1301" t="s">
        <v>719</v>
      </c>
      <c r="C1301">
        <v>1</v>
      </c>
      <c r="D1301" t="s">
        <v>729</v>
      </c>
      <c r="E1301" t="s">
        <v>729</v>
      </c>
    </row>
    <row r="1302" spans="1:6" x14ac:dyDescent="0.35">
      <c r="A1302" t="s">
        <v>995</v>
      </c>
      <c r="B1302" t="s">
        <v>718</v>
      </c>
      <c r="C1302" s="2">
        <f>8760 * 0.7 / (7200 * 1000000)</f>
        <v>8.5166666666666663E-7</v>
      </c>
      <c r="D1302" t="s">
        <v>722</v>
      </c>
      <c r="E1302" t="s">
        <v>733</v>
      </c>
      <c r="F1302" t="s">
        <v>987</v>
      </c>
    </row>
    <row r="1303" spans="1:6" x14ac:dyDescent="0.35">
      <c r="A1303" t="s">
        <v>995</v>
      </c>
      <c r="B1303" t="s">
        <v>719</v>
      </c>
      <c r="C1303">
        <v>1</v>
      </c>
      <c r="D1303" t="s">
        <v>729</v>
      </c>
      <c r="E1303" t="s">
        <v>729</v>
      </c>
    </row>
    <row r="1304" spans="1:6" x14ac:dyDescent="0.35">
      <c r="A1304" t="s">
        <v>996</v>
      </c>
      <c r="B1304" t="s">
        <v>718</v>
      </c>
      <c r="C1304" s="2">
        <f>8760 * 0.7 / (7200 * 1000000)</f>
        <v>8.5166666666666663E-7</v>
      </c>
      <c r="D1304" t="s">
        <v>722</v>
      </c>
      <c r="E1304" t="s">
        <v>733</v>
      </c>
      <c r="F1304" t="s">
        <v>987</v>
      </c>
    </row>
    <row r="1305" spans="1:6" x14ac:dyDescent="0.35">
      <c r="A1305" t="s">
        <v>996</v>
      </c>
      <c r="B1305" t="s">
        <v>719</v>
      </c>
      <c r="C1305">
        <v>1</v>
      </c>
      <c r="D1305" t="s">
        <v>729</v>
      </c>
      <c r="E1305" t="s">
        <v>729</v>
      </c>
    </row>
    <row r="1306" spans="1:6" x14ac:dyDescent="0.35">
      <c r="A1306" t="s">
        <v>997</v>
      </c>
      <c r="B1306" t="s">
        <v>718</v>
      </c>
      <c r="C1306" s="2">
        <f>8760 * 0.48 / (4100 * 1000000)</f>
        <v>1.0255609756097561E-6</v>
      </c>
      <c r="D1306" t="s">
        <v>722</v>
      </c>
      <c r="E1306" t="s">
        <v>733</v>
      </c>
      <c r="F1306" t="s">
        <v>990</v>
      </c>
    </row>
    <row r="1307" spans="1:6" x14ac:dyDescent="0.35">
      <c r="A1307" t="s">
        <v>997</v>
      </c>
      <c r="B1307" t="s">
        <v>719</v>
      </c>
      <c r="C1307">
        <v>1</v>
      </c>
      <c r="D1307" t="s">
        <v>729</v>
      </c>
      <c r="E1307" t="s">
        <v>729</v>
      </c>
    </row>
    <row r="1308" spans="1:6" x14ac:dyDescent="0.35">
      <c r="A1308" t="s">
        <v>998</v>
      </c>
      <c r="B1308" t="s">
        <v>718</v>
      </c>
      <c r="C1308" s="2">
        <f>8760 * 0.48 / (4100 * 1000000)</f>
        <v>1.0255609756097561E-6</v>
      </c>
      <c r="D1308" t="s">
        <v>722</v>
      </c>
      <c r="E1308" t="s">
        <v>733</v>
      </c>
      <c r="F1308" t="s">
        <v>990</v>
      </c>
    </row>
    <row r="1309" spans="1:6" x14ac:dyDescent="0.35">
      <c r="A1309" t="s">
        <v>998</v>
      </c>
      <c r="B1309" t="s">
        <v>719</v>
      </c>
      <c r="C1309">
        <v>1</v>
      </c>
      <c r="D1309" t="s">
        <v>729</v>
      </c>
      <c r="E1309" t="s">
        <v>729</v>
      </c>
    </row>
    <row r="1310" spans="1:6" x14ac:dyDescent="0.35">
      <c r="A1310" t="s">
        <v>999</v>
      </c>
      <c r="B1310" t="s">
        <v>718</v>
      </c>
      <c r="C1310" s="2">
        <f>8760 * 0.53 / (5100 * 1000000)</f>
        <v>9.103529411764706E-7</v>
      </c>
      <c r="D1310" t="s">
        <v>722</v>
      </c>
      <c r="E1310" t="s">
        <v>733</v>
      </c>
      <c r="F1310" t="s">
        <v>993</v>
      </c>
    </row>
    <row r="1311" spans="1:6" x14ac:dyDescent="0.35">
      <c r="A1311" t="s">
        <v>999</v>
      </c>
      <c r="B1311" t="s">
        <v>719</v>
      </c>
      <c r="C1311">
        <v>1</v>
      </c>
      <c r="D1311" t="s">
        <v>729</v>
      </c>
      <c r="E1311" t="s">
        <v>729</v>
      </c>
    </row>
    <row r="1312" spans="1:6" x14ac:dyDescent="0.35">
      <c r="A1312" t="s">
        <v>1000</v>
      </c>
      <c r="B1312" t="s">
        <v>718</v>
      </c>
      <c r="C1312" s="2">
        <f>8760 * 0.53 / (5100 * 1000000)</f>
        <v>9.103529411764706E-7</v>
      </c>
      <c r="D1312" t="s">
        <v>722</v>
      </c>
      <c r="E1312" t="s">
        <v>733</v>
      </c>
      <c r="F1312" t="s">
        <v>993</v>
      </c>
    </row>
    <row r="1313" spans="1:5" x14ac:dyDescent="0.35">
      <c r="A1313" t="s">
        <v>1000</v>
      </c>
      <c r="B1313" t="s">
        <v>719</v>
      </c>
      <c r="C1313" s="3">
        <v>1</v>
      </c>
      <c r="D1313" t="s">
        <v>729</v>
      </c>
      <c r="E1313" t="s">
        <v>729</v>
      </c>
    </row>
    <row r="1314" spans="1:5" x14ac:dyDescent="0.35">
      <c r="A1314" t="s">
        <v>1017</v>
      </c>
      <c r="B1314" t="s">
        <v>719</v>
      </c>
      <c r="C1314" s="3">
        <v>1</v>
      </c>
      <c r="D1314" t="s">
        <v>721</v>
      </c>
      <c r="E1314" t="s">
        <v>721</v>
      </c>
    </row>
    <row r="1315" spans="1:5" x14ac:dyDescent="0.35">
      <c r="A1315" t="s">
        <v>1019</v>
      </c>
      <c r="B1315" t="s">
        <v>719</v>
      </c>
      <c r="C1315" s="3">
        <v>1</v>
      </c>
      <c r="D1315" t="s">
        <v>721</v>
      </c>
      <c r="E1315" t="s">
        <v>721</v>
      </c>
    </row>
    <row r="1316" spans="1:5" x14ac:dyDescent="0.35">
      <c r="A1316" t="s">
        <v>1020</v>
      </c>
      <c r="B1316" t="s">
        <v>719</v>
      </c>
      <c r="C1316" s="3">
        <v>1</v>
      </c>
      <c r="D1316" t="s">
        <v>721</v>
      </c>
      <c r="E1316" t="s">
        <v>721</v>
      </c>
    </row>
    <row r="1317" spans="1:5" x14ac:dyDescent="0.35">
      <c r="A1317" t="s">
        <v>1021</v>
      </c>
      <c r="B1317" t="s">
        <v>719</v>
      </c>
      <c r="C1317" s="3">
        <v>1</v>
      </c>
      <c r="D1317" t="s">
        <v>721</v>
      </c>
      <c r="E1317" t="s">
        <v>721</v>
      </c>
    </row>
    <row r="1318" spans="1:5" x14ac:dyDescent="0.35">
      <c r="A1318" t="s">
        <v>1018</v>
      </c>
      <c r="B1318" t="s">
        <v>719</v>
      </c>
      <c r="C1318" s="3">
        <v>1</v>
      </c>
      <c r="D1318" t="s">
        <v>721</v>
      </c>
      <c r="E1318" t="s">
        <v>721</v>
      </c>
    </row>
  </sheetData>
  <autoFilter ref="A1:F131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Matthieu Souttre</cp:lastModifiedBy>
  <dcterms:created xsi:type="dcterms:W3CDTF">2025-03-21T16:44:25Z</dcterms:created>
  <dcterms:modified xsi:type="dcterms:W3CDTF">2026-09-03T08:47:05Z</dcterms:modified>
</cp:coreProperties>
</file>