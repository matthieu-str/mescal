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PycharmProjects\mescal\dev\energyscope_data\core\"/>
    </mc:Choice>
  </mc:AlternateContent>
  <xr:revisionPtr revIDLastSave="0" documentId="13_ncr:1_{0136CC72-C619-4FF1-BD8B-7651A434F4B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1" i="1"/>
  <c r="C240" i="1"/>
  <c r="C237" i="1"/>
  <c r="C236" i="1"/>
  <c r="C235" i="1"/>
  <c r="C234" i="1"/>
  <c r="C233" i="1"/>
  <c r="C232" i="1"/>
  <c r="C231" i="1"/>
  <c r="C230" i="1"/>
  <c r="C229" i="1"/>
  <c r="C228" i="1"/>
  <c r="C227" i="1"/>
  <c r="C225" i="1"/>
  <c r="C223" i="1"/>
  <c r="C222" i="1"/>
  <c r="C221" i="1"/>
  <c r="C220" i="1"/>
  <c r="C219" i="1"/>
  <c r="C218" i="1"/>
  <c r="C217" i="1"/>
  <c r="C216" i="1"/>
  <c r="C213" i="1"/>
  <c r="C211" i="1"/>
  <c r="C210" i="1"/>
  <c r="C209" i="1"/>
  <c r="C208" i="1"/>
  <c r="C206" i="1"/>
  <c r="C205" i="1"/>
  <c r="C204" i="1"/>
  <c r="C203" i="1"/>
  <c r="C202" i="1"/>
  <c r="C201" i="1"/>
  <c r="C200" i="1"/>
  <c r="C199" i="1"/>
  <c r="C196" i="1"/>
  <c r="C195" i="1"/>
  <c r="C194" i="1"/>
  <c r="C193" i="1"/>
  <c r="C192" i="1"/>
  <c r="C191" i="1"/>
  <c r="C190" i="1"/>
  <c r="C189" i="1"/>
  <c r="C184" i="1"/>
  <c r="C183" i="1"/>
  <c r="C181" i="1"/>
  <c r="C180" i="1"/>
  <c r="C179" i="1"/>
  <c r="C175" i="1"/>
  <c r="C174" i="1"/>
  <c r="C173" i="1"/>
  <c r="C172" i="1"/>
  <c r="C171" i="1"/>
  <c r="C170" i="1"/>
  <c r="C169" i="1"/>
  <c r="C167" i="1"/>
  <c r="C166" i="1"/>
  <c r="C165" i="1"/>
  <c r="C164" i="1"/>
  <c r="C163" i="1"/>
  <c r="C162" i="1"/>
  <c r="C160" i="1"/>
  <c r="C158" i="1"/>
  <c r="C157" i="1"/>
  <c r="C156" i="1"/>
  <c r="C153" i="1"/>
  <c r="C152" i="1"/>
  <c r="C151" i="1"/>
  <c r="C149" i="1"/>
  <c r="C148" i="1"/>
  <c r="C147" i="1"/>
  <c r="C146" i="1"/>
  <c r="C145" i="1"/>
  <c r="C143" i="1"/>
  <c r="C142" i="1"/>
  <c r="C141" i="1"/>
  <c r="C140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1" i="1"/>
  <c r="C120" i="1"/>
  <c r="C119" i="1"/>
  <c r="C116" i="1"/>
  <c r="C115" i="1"/>
  <c r="C113" i="1"/>
  <c r="C112" i="1"/>
  <c r="C111" i="1"/>
  <c r="C107" i="1"/>
  <c r="C106" i="1"/>
  <c r="C105" i="1"/>
  <c r="C102" i="1"/>
  <c r="C101" i="1"/>
  <c r="C98" i="1"/>
  <c r="C97" i="1"/>
  <c r="C96" i="1"/>
  <c r="C94" i="1"/>
  <c r="C93" i="1"/>
  <c r="C92" i="1"/>
  <c r="C91" i="1"/>
  <c r="C89" i="1"/>
  <c r="C88" i="1"/>
  <c r="C87" i="1"/>
  <c r="C86" i="1"/>
  <c r="C85" i="1"/>
  <c r="C84" i="1"/>
  <c r="C83" i="1"/>
  <c r="C80" i="1"/>
  <c r="C79" i="1"/>
  <c r="C78" i="1"/>
  <c r="C77" i="1"/>
  <c r="C73" i="1"/>
  <c r="C72" i="1"/>
  <c r="C71" i="1"/>
  <c r="C70" i="1"/>
  <c r="C69" i="1"/>
  <c r="C67" i="1"/>
  <c r="C66" i="1"/>
  <c r="C65" i="1"/>
  <c r="C64" i="1"/>
  <c r="C62" i="1"/>
  <c r="C61" i="1"/>
  <c r="C60" i="1"/>
  <c r="C58" i="1"/>
  <c r="C57" i="1"/>
  <c r="C56" i="1"/>
  <c r="C55" i="1"/>
  <c r="C54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15" i="1"/>
  <c r="C14" i="1"/>
  <c r="C13" i="1"/>
  <c r="C12" i="1"/>
  <c r="C11" i="1"/>
  <c r="C10" i="1"/>
  <c r="C9" i="1"/>
  <c r="C8" i="1"/>
  <c r="C7" i="1"/>
  <c r="C6" i="1"/>
  <c r="C3" i="1"/>
  <c r="C2" i="1"/>
</calcChain>
</file>

<file path=xl/sharedStrings.xml><?xml version="1.0" encoding="utf-8"?>
<sst xmlns="http://schemas.openxmlformats.org/spreadsheetml/2006/main" count="1299" uniqueCount="294">
  <si>
    <t>Name</t>
  </si>
  <si>
    <t>Type</t>
  </si>
  <si>
    <t>Value</t>
  </si>
  <si>
    <t>LCA</t>
  </si>
  <si>
    <t>ESM</t>
  </si>
  <si>
    <t>Assumptions &amp; Sources</t>
  </si>
  <si>
    <t>AMMONIA</t>
  </si>
  <si>
    <t>AMMONIA_RE</t>
  </si>
  <si>
    <t>AMMONIA_TO_H2</t>
  </si>
  <si>
    <t>ATM_CCS</t>
  </si>
  <si>
    <t>BIODIESEL</t>
  </si>
  <si>
    <t>BIOETHANOL</t>
  </si>
  <si>
    <t>BIOMASS_TO_METHANOL</t>
  </si>
  <si>
    <t>BIOMETHANATION</t>
  </si>
  <si>
    <t>BIO_HYDROLYSIS</t>
  </si>
  <si>
    <t>BOAT_FREIGHT_DIESEL</t>
  </si>
  <si>
    <t>BOAT_FREIGHT_METHANOL</t>
  </si>
  <si>
    <t>BOAT_FREIGHT_NG</t>
  </si>
  <si>
    <t>BUS_COACH_CNG_STOICH</t>
  </si>
  <si>
    <t>BUS_COACH_DIESEL</t>
  </si>
  <si>
    <t>BUS_COACH_FC_HYBRIDH2</t>
  </si>
  <si>
    <t>BUS_COACH_HYDIESEL</t>
  </si>
  <si>
    <t>CAR_BEV</t>
  </si>
  <si>
    <t>CAR_DIESEL</t>
  </si>
  <si>
    <t>CAR_FUEL_CELL</t>
  </si>
  <si>
    <t>CAR_GASOLINE</t>
  </si>
  <si>
    <t>CAR_HEV</t>
  </si>
  <si>
    <t>CAR_METHANOL</t>
  </si>
  <si>
    <t>CAR_NG</t>
  </si>
  <si>
    <t>CAR_PHEV</t>
  </si>
  <si>
    <t>CCGT</t>
  </si>
  <si>
    <t>CCGT_AMMONIA</t>
  </si>
  <si>
    <t>CO2_ATM</t>
  </si>
  <si>
    <t>CO2_CAPTURED</t>
  </si>
  <si>
    <t>CO2_EMISSIONS</t>
  </si>
  <si>
    <t>CO2_INDUSTRY</t>
  </si>
  <si>
    <t>COAL</t>
  </si>
  <si>
    <t>COAL_IGCC</t>
  </si>
  <si>
    <t>COAL_US</t>
  </si>
  <si>
    <t>DEC_ADVCOGEN_GAS</t>
  </si>
  <si>
    <t>DEC_ADVCOGEN_H2</t>
  </si>
  <si>
    <t>DEC_BOILER_GAS</t>
  </si>
  <si>
    <t>DEC_BOILER_OIL</t>
  </si>
  <si>
    <t>DEC_BOILER_OIL_BOILER</t>
  </si>
  <si>
    <t>DEC_BOILER_OIL_TANK</t>
  </si>
  <si>
    <t>DEC_BOILER_WOOD</t>
  </si>
  <si>
    <t>DEC_COGEN_GAS</t>
  </si>
  <si>
    <t>DEC_COGEN_GAS_CHP</t>
  </si>
  <si>
    <t>DEC_COGEN_GAS_ELEC</t>
  </si>
  <si>
    <t>DEC_COGEN_GAS_HEAT</t>
  </si>
  <si>
    <t>DEC_COGEN_OIL</t>
  </si>
  <si>
    <t>DEC_COGEN_OIL_BOILER</t>
  </si>
  <si>
    <t>DEC_COGEN_OIL_TANK</t>
  </si>
  <si>
    <t>DEC_COGEN_OIL_TURBINE</t>
  </si>
  <si>
    <t>DEC_DIRECT_ELEC</t>
  </si>
  <si>
    <t>DEC_HP_ELEC</t>
  </si>
  <si>
    <t>DEC_SOLAR</t>
  </si>
  <si>
    <t>DEC_THHP_GAS</t>
  </si>
  <si>
    <t>DEC_THHP_GAS_HEX</t>
  </si>
  <si>
    <t>DEC_THHP_GAS_HP</t>
  </si>
  <si>
    <t>DHN_BOILER_GAS</t>
  </si>
  <si>
    <t>DHN_BOILER_OIL</t>
  </si>
  <si>
    <t>DHN_BOILER_OIL_BOILER</t>
  </si>
  <si>
    <t>DHN_BOILER_OIL_TANK</t>
  </si>
  <si>
    <t>DHN_BOILER_WOOD</t>
  </si>
  <si>
    <t>DHN_BOILER_WOOD_BOILER</t>
  </si>
  <si>
    <t>DHN_BOILER_WOOD_DUST</t>
  </si>
  <si>
    <t>DHN_COGEN_BIO_HYDROLYSIS</t>
  </si>
  <si>
    <t>DHN_COGEN_BIO_HYDROLYSIS_BOILER</t>
  </si>
  <si>
    <t>DHN_COGEN_BIO_HYDROLYSIS_DUST</t>
  </si>
  <si>
    <t>DHN_COGEN_BIO_HYDROLYSIS_TURBINE</t>
  </si>
  <si>
    <t>DHN_COGEN_GAS</t>
  </si>
  <si>
    <t>DHN_COGEN_GAS_CHP</t>
  </si>
  <si>
    <t>DHN_COGEN_GAS_ELEC</t>
  </si>
  <si>
    <t>DHN_COGEN_GAS_HEAT</t>
  </si>
  <si>
    <t>DHN_COGEN_WASTE</t>
  </si>
  <si>
    <t>DHN_COGEN_WASTE_BOILER</t>
  </si>
  <si>
    <t>DHN_COGEN_WASTE_TURBINE</t>
  </si>
  <si>
    <t>DHN_COGEN_WET_BIOMASS</t>
  </si>
  <si>
    <t>DHN_COGEN_WET_BIOMASS_BOILER</t>
  </si>
  <si>
    <t>DHN_COGEN_WET_BIOMASS_DUST</t>
  </si>
  <si>
    <t>DHN_COGEN_WET_BIOMASS_TURBINE</t>
  </si>
  <si>
    <t>DHN_COGEN_WOOD</t>
  </si>
  <si>
    <t>DHN_COGEN_WOOD_BOILER</t>
  </si>
  <si>
    <t>DHN_COGEN_WOOD_DUST</t>
  </si>
  <si>
    <t>DHN_COGEN_WOOD_TURBINE</t>
  </si>
  <si>
    <t>DHN_DEEP_GEO</t>
  </si>
  <si>
    <t>DHN_HP_ELEC</t>
  </si>
  <si>
    <t>DHN_SOLAR</t>
  </si>
  <si>
    <t>DIESEL</t>
  </si>
  <si>
    <t>ELECTRICITY</t>
  </si>
  <si>
    <t>ELEC_EXPORT</t>
  </si>
  <si>
    <t>GAS</t>
  </si>
  <si>
    <t>GASIFICATION_SNG</t>
  </si>
  <si>
    <t>GASIFICATION_SNG_PLANT</t>
  </si>
  <si>
    <t>GASIFICATION_SNG_TANK</t>
  </si>
  <si>
    <t>GASOLINE</t>
  </si>
  <si>
    <t>GAS_RE</t>
  </si>
  <si>
    <t>GEOTHERMAL</t>
  </si>
  <si>
    <t>H2</t>
  </si>
  <si>
    <t>H2_BIOMASS</t>
  </si>
  <si>
    <t>H2_BIOMASS_PLANT</t>
  </si>
  <si>
    <t>H2_BIOMASS_TANK</t>
  </si>
  <si>
    <t>H2_ELECTROLYSIS</t>
  </si>
  <si>
    <t>H2_ELECTROLYSIS_PLANT</t>
  </si>
  <si>
    <t>H2_ELECTROLYSIS_STACK</t>
  </si>
  <si>
    <t>H2_RE</t>
  </si>
  <si>
    <t>HABER_BOSCH</t>
  </si>
  <si>
    <t>HYDRO_RIVER</t>
  </si>
  <si>
    <t>INDUSTRY_CCS</t>
  </si>
  <si>
    <t>IND_BOILER_COAL</t>
  </si>
  <si>
    <t>IND_BOILER_GAS</t>
  </si>
  <si>
    <t>IND_BOILER_OIL</t>
  </si>
  <si>
    <t>IND_BOILER_OIL_PLANT</t>
  </si>
  <si>
    <t>IND_BOILER_OIL_TANK</t>
  </si>
  <si>
    <t>IND_BOILER_WASTE</t>
  </si>
  <si>
    <t>IND_BOILER_WOOD</t>
  </si>
  <si>
    <t>IND_COGEN_GAS</t>
  </si>
  <si>
    <t>IND_COGEN_GAS_CHP</t>
  </si>
  <si>
    <t>IND_COGEN_GAS_ELEC</t>
  </si>
  <si>
    <t>IND_COGEN_GAS_HEAT</t>
  </si>
  <si>
    <t>IND_COGEN_WASTE</t>
  </si>
  <si>
    <t>IND_COGEN_WASTE_PLANT</t>
  </si>
  <si>
    <t>IND_COGEN_WASTE_TURBINE</t>
  </si>
  <si>
    <t>IND_COGEN_WOOD</t>
  </si>
  <si>
    <t>IND_COGEN_WOOD_DUST</t>
  </si>
  <si>
    <t>IND_COGEN_WOOD_PLANT</t>
  </si>
  <si>
    <t>IND_COGEN_WOOD_TURBINE</t>
  </si>
  <si>
    <t>IND_DIRECT_ELEC</t>
  </si>
  <si>
    <t>LFO</t>
  </si>
  <si>
    <t>METHANE_TO_METHANOL</t>
  </si>
  <si>
    <t>METHANOL</t>
  </si>
  <si>
    <t>METHANOL_RE</t>
  </si>
  <si>
    <t>NUCLEAR</t>
  </si>
  <si>
    <t>PV</t>
  </si>
  <si>
    <t>PYROLYSIS_TO_FUELS</t>
  </si>
  <si>
    <t>PYROLYSIS_TO_LFO</t>
  </si>
  <si>
    <t>SMR</t>
  </si>
  <si>
    <t>SMR_PLANT</t>
  </si>
  <si>
    <t>SMR_TANK</t>
  </si>
  <si>
    <t>SYN_METHANATION</t>
  </si>
  <si>
    <t>SYN_METHANOLATION</t>
  </si>
  <si>
    <t>TRAIN_FREIGHT</t>
  </si>
  <si>
    <t>TRAIN_FREIGHT_LOC</t>
  </si>
  <si>
    <t>TRAIN_FREIGHT_WAG</t>
  </si>
  <si>
    <t>TRAIN_PUB</t>
  </si>
  <si>
    <t>TRAMWAY_TROLLEY</t>
  </si>
  <si>
    <t>TRUCK_DIESEL</t>
  </si>
  <si>
    <t>TRUCK_ELEC</t>
  </si>
  <si>
    <t>TRUCK_FUEL_CELL</t>
  </si>
  <si>
    <t>TRUCK_METHANOL</t>
  </si>
  <si>
    <t>TRUCK_NG</t>
  </si>
  <si>
    <t>URANIUM</t>
  </si>
  <si>
    <t>WASTE</t>
  </si>
  <si>
    <t>WET_BIOMASS</t>
  </si>
  <si>
    <t>WIND_OFFSHORE</t>
  </si>
  <si>
    <t>WIND_OFFSHORE_FIXED</t>
  </si>
  <si>
    <t>WIND_OFFSHORE_MOVING</t>
  </si>
  <si>
    <t>WIND_ONSHORE</t>
  </si>
  <si>
    <t>WIND_ONSHORE_CONNECTION</t>
  </si>
  <si>
    <t>WIND_ONSHORE_TURBINE</t>
  </si>
  <si>
    <t>WOOD</t>
  </si>
  <si>
    <t>benzene</t>
  </si>
  <si>
    <t>biogas</t>
  </si>
  <si>
    <t>biomass</t>
  </si>
  <si>
    <t>diesel</t>
  </si>
  <si>
    <t>electricity</t>
  </si>
  <si>
    <t>ethylene</t>
  </si>
  <si>
    <t>hard coal</t>
  </si>
  <si>
    <t>heat</t>
  </si>
  <si>
    <t>heavy fuel oil</t>
  </si>
  <si>
    <t>hydrogen</t>
  </si>
  <si>
    <t>kerosene</t>
  </si>
  <si>
    <t>light fuel oil</t>
  </si>
  <si>
    <t>lignite</t>
  </si>
  <si>
    <t>manure</t>
  </si>
  <si>
    <t>methanol</t>
  </si>
  <si>
    <t>natural gas</t>
  </si>
  <si>
    <t>nuclear fuel element</t>
  </si>
  <si>
    <t>petrol</t>
  </si>
  <si>
    <t>propylene</t>
  </si>
  <si>
    <t>spruce wood chips</t>
  </si>
  <si>
    <t>syngas</t>
  </si>
  <si>
    <t>synthetic gas</t>
  </si>
  <si>
    <t>waste wood</t>
  </si>
  <si>
    <t>wood ash mixture</t>
  </si>
  <si>
    <t>wood chips</t>
  </si>
  <si>
    <t>wood chips and particles</t>
  </si>
  <si>
    <t>Resource</t>
  </si>
  <si>
    <t>Construction</t>
  </si>
  <si>
    <t>Decommission</t>
  </si>
  <si>
    <t>Operation</t>
  </si>
  <si>
    <t>Flow</t>
  </si>
  <si>
    <t>Other</t>
  </si>
  <si>
    <t>kilogram</t>
  </si>
  <si>
    <t>unit</t>
  </si>
  <si>
    <t>ton kilometer</t>
  </si>
  <si>
    <t>person kilometer</t>
  </si>
  <si>
    <t>kilometer</t>
  </si>
  <si>
    <t>kilowatt hour</t>
  </si>
  <si>
    <t>megajoule</t>
  </si>
  <si>
    <t>square meter</t>
  </si>
  <si>
    <t>cubic meter</t>
  </si>
  <si>
    <t>kilowatt</t>
  </si>
  <si>
    <t>kilogram per hour</t>
  </si>
  <si>
    <t>ton kilometer per hour</t>
  </si>
  <si>
    <t>person kilometer per hour</t>
  </si>
  <si>
    <t>ammonia HHV (22.5 MJ/kg): \cite{engineetingtoolbox2003}</t>
  </si>
  <si>
    <t>H2 LHV (33.3 kWh/kg): \cite{engineeringtoolbox2003}, yearly production (0.05 Mt/yr): \cite{althaus2007}, capacity factor (0.85): \cite{moret2017}</t>
  </si>
  <si>
    <t>capacity factor (0.85): \cite{moret2017}</t>
  </si>
  <si>
    <t xml:space="preserve">Biodiesel LHV (10.50 kWh/kg): \cite{engineeringtoolbox2003}
</t>
  </si>
  <si>
    <t>Ethanol LHV (31.58 MJ/kg): \cite{wernet2016}</t>
  </si>
  <si>
    <t>Daily production (2700 t/day): \cite{wernet2016}, LHV methanol (5.54 kWh/kg): \cite{engineeringtoolbox2003}, capacity factor (0.86): \cite{moret2017}</t>
  </si>
  <si>
    <t>methane LHV (13.9 kWh/kg): \cite{engineetingtoolbox2003}</t>
  </si>
  <si>
    <t>methane LHV (13.9 kWh/kg): \cite{engineeringtoolbox2003}, yearly production (0.05 Mt/yr): \cite{althaus2007}, capacity factor (0.85): \cite{moret2017}</t>
  </si>
  <si>
    <t>LHV NG (47.1 MJ/kg): \cite{engineeringtoolbox2003}, capacity factor (0.86): \cite{moret2017}</t>
  </si>
  <si>
    <t>Load capacity (deadweight tonnage) (43000 tonnes), yearly activity (7200 Mtkm/yr), capacity factor (0.70): \cite{wernet2016}</t>
  </si>
  <si>
    <t>people per vehicle (24): \cite{schnidrig2020}; yearly distance (39000 km): \cite{schnidrig2020}; capacity factor (0.297): \cite{limpens2021}</t>
  </si>
  <si>
    <t>people per vehicle (24): \cite{schnidrig2020}; yearly distance (39000 km): \cite{schnidrig2020}</t>
  </si>
  <si>
    <t>number of passengers in cars (1.5): \cite{biedermann2023} ; yearly car distance (7600 km): \cite{biedermann2023}, capacity factor (0.051): \cite{limpens2021}</t>
  </si>
  <si>
    <t>Capacity (400 MWe): \cite{wernet2016}</t>
  </si>
  <si>
    <t>Bituminous coal LHV (27.91 MJ/kg): \cite{wernet2016}</t>
  </si>
  <si>
    <t>Capacity (100 MWe): \cite{wernet2016}, co-generation capacity (2.64 kWe / kWth)</t>
  </si>
  <si>
    <t>Allocation factor (0.177): \cite{wernet2016}</t>
  </si>
  <si>
    <t>Tank per boiler: \cite{wernet2016}</t>
  </si>
  <si>
    <t>cogeneration production (0.96 kWe/kWth): \cite{moret2017} ; allocation factor (0.2278): \cite{wernet2016}</t>
  </si>
  <si>
    <t>cogeneration production (0.907 kWe/kWth): \cite{moret2017}</t>
  </si>
  <si>
    <t>200 kWe ORC to be connected with a 1000 kWth furnace \cite{wernet2016}</t>
  </si>
  <si>
    <t>surface to power ratio (0.7 kWth/m2): \cite{iea-shc2004}</t>
  </si>
  <si>
    <t>HEX per HP: \cite{wernet2016}</t>
  </si>
  <si>
    <t>Fuel consumption (1.0417 kW_NG / kW_heat): \cite{wernet2016}</t>
  </si>
  <si>
    <t>Fuel consumption (1.0526 kW_oil / kW_heat): \cite{wernet2016}</t>
  </si>
  <si>
    <t>allocation factor (0.3373): \cite{wernet2016}</t>
  </si>
  <si>
    <t>Thermal efficiency (0.45): \cite{wernet2016} ; allocation factor (0.3373): \cite{wernet2016}, capacity (6667 kW_fuel)</t>
  </si>
  <si>
    <t>cogeneration unit capacity (200 kWe), boiler capacity (6667 kW_fuel), thermal efficiency (0.45), 200 kWe ORC to be connected with a 1000 kWth furnace \cite{wernet2016}</t>
  </si>
  <si>
    <t>cogeneration production (1.25 kWe/kWth): \cite{moret2017} ; allocation factor (0.1636): \cite{wernet2016}</t>
  </si>
  <si>
    <t>cogeneration production (0.44 kWe/kWth): \cite{moret2017}</t>
  </si>
  <si>
    <t>facility waste capacity (100 kt/year): \cite{wernet2016} ; process efficency (2.22 GWh waste/GWh heat): \cite{moret2017}, municipal solid waste energy density (12.35 MJ/kg): \cite{moret2017} ; capacity factor (0.85): \cite{moret2017}</t>
  </si>
  <si>
    <t>Thermal efficiency (0.45): \cite{wernet2016} ; allocation factor (0.3373): \cite{wernet2016}</t>
  </si>
  <si>
    <t>Diesel LHV (11.83 kWh/kg): \cite{engineeringtoolbox2003}</t>
  </si>
  <si>
    <t>Impacts of exports are counted negatively</t>
  </si>
  <si>
    <t>natural gas LHV (39 MJ/m3): \cite{wernet2016}</t>
  </si>
  <si>
    <t>LHV syngas (23.9 MJ/kg): \cite{vandergiesen2014}</t>
  </si>
  <si>
    <t>LHV gasoline (42.5 MJ/kg): \cite{wernet2016}</t>
  </si>
  <si>
    <t>Geothermal capacity factor (0.86): \cite{grasby2012}</t>
  </si>
  <si>
    <t>hydrogen LHV (33.3 kWh/kg): \cite{engineeringtoolbox2003}</t>
  </si>
  <si>
    <t>H2 LHV (33.3 kWh/kg): \cite{engineeringtoolbox2003}</t>
  </si>
  <si>
    <t>Factory capacity (5 MWth)</t>
  </si>
  <si>
    <t>Tank per plant ratio: \cite{sacchi2022}</t>
  </si>
  <si>
    <t>Electricity consumption (51.8 kWh/kg H2): \cite{gerloff2021}, LHV hydrogen (33.3 kWh/kg): \cite{engineeringtoolbox2003}</t>
  </si>
  <si>
    <t>hydrogen LHV (33.3 kWh/kg): \cite{engineetingtoolbox2003}</t>
  </si>
  <si>
    <t>ammonia HHV (22.5 MJ/kg): \cite{engineeringtoolbox2003}, yearly production (0.05 Mt/yr): \cite{althaus2007}, capacity factor (0.85): \cite{moret2017}</t>
  </si>
  <si>
    <t>Annual production (15484 GWh/yr): \cite{wernet2016}, average capacity factor (0.484): \cite{moret2017} + own estimations (see additional_calc)</t>
  </si>
  <si>
    <t>capacity (1-10 MW), lifetime (20 years): \cite{wernet2016}</t>
  </si>
  <si>
    <t>facility waste capacity (100 kt waste/year): \cite{wernet2016} ; municipal solid waste energy density (12.35 MJ/kg): \cite{moret2017}, process efficiency (1.2195 kWh waste/kWh heat): \cite{moret2017}, capacity factor (0.9): \cite{moret2017}</t>
  </si>
  <si>
    <t>cogeneration production (0.956 kWe/kWth): \cite{moret2017} ; allocation factor (0.1636): \cite{wernet2016}</t>
  </si>
  <si>
    <t>facility waste capacity (100 kt waste/year): \cite{wernet2016} ; municipal solid waste energy density (12.35 MJ/kg): \cite{moret2017}, process efficiency (1.2195 kWh waste/kWh heat): \cite{moret2017} ; capacity factor (0.85): \cite{moret2017}</t>
  </si>
  <si>
    <t>Light fuel oil LHV (42.6 MJ/kg): \cite{engineeringtoolbox2003}</t>
  </si>
  <si>
    <t>LHV methanol (5.54 kWh/kg): \cite{engineeringtoolbox2003}, daily production (2700 t/day): \cite{wernet2016}, capacity factor (0.86): \cite{moret2017}</t>
  </si>
  <si>
    <t>LHV methanol (5.54 kWh/kg): \cite{engineeringtoolbox2003}</t>
  </si>
  <si>
    <t>methanol LHV (5.54 kWh/kg): \cite{engineetingtoolbox2003}</t>
  </si>
  <si>
    <t>power plant capacity (1 GW): \cite{dones2007}</t>
  </si>
  <si>
    <t>charcoal LHV (7.89 kWh/kg): \cite{engineetingtoolbox2003}</t>
  </si>
  <si>
    <t>charcoal LHV (7.89 kWh/kg): \cite{engineeringtoolbox2003}, yearly production (0.05 Mt/yr): \cite{althaus2007}, capacity factor (0.85): \cite{moret2017}</t>
  </si>
  <si>
    <t>light fuel oil LHV (11.28 kWh/kg): \cite{engineeringtoolbox2003}, yearly production (0.05 Mt/yr): \cite{althaus2007}, capacity factor (0.85): \cite{moret2017}</t>
  </si>
  <si>
    <t>methanol LHV (5.54 kWh/kg): \cite{engineeringtoolbox2003}, yearly production (0.05 Mt/yr): \cite{althaus2007}, capacity factor (0.85): \cite{moret2017}</t>
  </si>
  <si>
    <t>Lifetime distance 9600000 km: \cite{spielmann2017}; train composition 2 Locomotives:  \cite{schnidrig2020}; Lifetime of train 40 years:  \cite{spielmann2017}; 20 waggon per train: \cite{spielmann2017}; Load per wagon: 26t  \cite{spielmann2017}; capacity factor (0.342): \cite{limpens2021}</t>
  </si>
  <si>
    <t>2 locomotives per train \cite{spielmann2017}</t>
  </si>
  <si>
    <t xml:space="preserve">20 wagon per train: \cite{spielmann2017}; </t>
  </si>
  <si>
    <t>yearly distance (400000 km), people per vehicle (343): \cite{schnidrig2020}, capacity factor (0.275): \cite{limpens2021}</t>
  </si>
  <si>
    <t>Yearly distance (27300 km/yr): \cite{wernet2016} ; people per vehicle (28): \cite{wernet2016}, capacity factor (0.342): \cite{limpens2021}</t>
  </si>
  <si>
    <t>load capacity (13.4 tons),  lifetime km (5.8e5 km): \cite{sacchi2022a}, lifetime (15 years): \cite{schnidrig2020}, capacity factor (0.093): \cite{limpens2021}</t>
  </si>
  <si>
    <t>load capacity (7.4 tons),  lifetime km (3.15e5 km): \cite{sacchi2022a}, lifetime (15 years): \cite{schnidrig2020}, capacity factor (0.093): \cite{limpens2021}</t>
  </si>
  <si>
    <t>Nuclear fuel heat value (3900 GJ/kg) \cite{worldnuclearassociation}</t>
  </si>
  <si>
    <t>Municipal solid waste LHV (12.35 MJ/kg): \cite{moret2017}</t>
  </si>
  <si>
    <t>HHV manure (15 MJ/kg): \cite{marin-batista2020}, LHV-to-HHV ratio (0.95)</t>
  </si>
  <si>
    <t>Capacity (2 MW)</t>
  </si>
  <si>
    <t>LHV wood (15.4 MJ/kg): \cite{engineeringtoolbox2003}</t>
  </si>
  <si>
    <t>Benzene heat of combustion (42.5 MJ/kg): \cite{wernet2016}</t>
  </si>
  <si>
    <t>natural gas density (0.777 kg/m3): \cite{engineeringtoolbox2003}</t>
  </si>
  <si>
    <t>dry wood LHV (4.28 kWh/kg): \cite{engineeringtoolbox2003}</t>
  </si>
  <si>
    <t>diesel LHV (11.83 kWh/kg): \cite{engineeringtoolbox2003}</t>
  </si>
  <si>
    <t>Ethylene heat of combustion (50.285 MJ/kg): \cite{engineeringtoolbox2017}</t>
  </si>
  <si>
    <t>hard coal HHV (9.06 kWh/kg): \cite{engineeringtoolbox2003}, LHV-to-HHV ratio (0.95)</t>
  </si>
  <si>
    <t>heavy fuel oil LHV (10.83 kWh/kg): \cite{engineeringtoolbox2003}</t>
  </si>
  <si>
    <t>kerosene LHV (11.94 kWh/kg): \cite{engineeringtoolbox2003}</t>
  </si>
  <si>
    <t>light fuel oil LHV (11.28 kWh/kg): \cite{engineeringtoolbox2003}</t>
  </si>
  <si>
    <t>lignite HHV (3.89 kWh/kg): \cite{engineeringtoolbox2003}, LHV-to-HHV ratio (0.95)</t>
  </si>
  <si>
    <t>LHV natural gas (13.1 kWh/kg), density natural gas (0.777 kg/m3): \cite{engineeringtoolbox2003}</t>
  </si>
  <si>
    <t>LHV natural gas (13.1 kWh/kg): \cite{engineeringtoolbox2003}</t>
  </si>
  <si>
    <t>gasoline LHV (12.06 kWh/kg): \cite{engineeringtoolbox2003}</t>
  </si>
  <si>
    <t>Propylene LHV (45.799 MJ/kg): \cite{wikipedia2023}</t>
  </si>
  <si>
    <t>density of syngas: (0.470 kg/m3): \cite{vandergiesen2014}</t>
  </si>
  <si>
    <t>LHV of synthetic gas (5.4 MJ/Nm3): \cite{wernet2016}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</si>
</sst>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8"/>
  <sheetViews>
    <sheetView tabSelected="1" workbookViewId="0">
      <selection activeCell="C6" sqref="C6"/>
    </sheetView>
  </sheetViews>
  <sheetFormatPr defaultRowHeight="14.5" x14ac:dyDescent="0.35"/>
  <cols>
    <col min="3" max="3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188</v>
      </c>
      <c r="C2">
        <f>3.6/22.5</f>
        <v>0.16</v>
      </c>
      <c r="D2" t="s">
        <v>194</v>
      </c>
      <c r="E2" t="s">
        <v>199</v>
      </c>
      <c r="F2" t="s">
        <v>207</v>
      </c>
    </row>
    <row r="3" spans="1:6" x14ac:dyDescent="0.35">
      <c r="A3" t="s">
        <v>7</v>
      </c>
      <c r="B3" t="s">
        <v>188</v>
      </c>
      <c r="C3">
        <f>3.6/22.5</f>
        <v>0.16</v>
      </c>
      <c r="D3" t="s">
        <v>194</v>
      </c>
      <c r="E3" t="s">
        <v>199</v>
      </c>
      <c r="F3" t="s">
        <v>207</v>
      </c>
    </row>
    <row r="4" spans="1:6" x14ac:dyDescent="0.35">
      <c r="A4" t="s">
        <v>8</v>
      </c>
      <c r="B4" t="s">
        <v>189</v>
      </c>
      <c r="C4">
        <f>8760 * 0.85 / (33.3 * 0.05 * 1000) / 1000000</f>
        <v>4.4720720720720718E-6</v>
      </c>
      <c r="D4" t="s">
        <v>195</v>
      </c>
      <c r="E4" t="s">
        <v>203</v>
      </c>
      <c r="F4" t="s">
        <v>208</v>
      </c>
    </row>
    <row r="5" spans="1:6" x14ac:dyDescent="0.35">
      <c r="A5" t="s">
        <v>9</v>
      </c>
      <c r="B5" t="s">
        <v>190</v>
      </c>
      <c r="C5">
        <f>-1*8760*0.85/1000 / 1000000</f>
        <v>-7.4459999999999995E-6</v>
      </c>
      <c r="D5" t="s">
        <v>195</v>
      </c>
      <c r="E5" t="s">
        <v>204</v>
      </c>
      <c r="F5" t="s">
        <v>209</v>
      </c>
    </row>
    <row r="6" spans="1:6" x14ac:dyDescent="0.35">
      <c r="A6" t="s">
        <v>9</v>
      </c>
      <c r="B6" t="s">
        <v>191</v>
      </c>
      <c r="C6">
        <f>1</f>
        <v>1</v>
      </c>
      <c r="D6" t="s">
        <v>194</v>
      </c>
      <c r="E6" t="s">
        <v>194</v>
      </c>
      <c r="F6" t="s">
        <v>209</v>
      </c>
    </row>
    <row r="7" spans="1:6" x14ac:dyDescent="0.35">
      <c r="A7" t="s">
        <v>9</v>
      </c>
      <c r="B7" t="s">
        <v>189</v>
      </c>
      <c r="C7">
        <f>8760*0.85/1000 / 1000000</f>
        <v>7.4459999999999995E-6</v>
      </c>
      <c r="D7" t="s">
        <v>195</v>
      </c>
      <c r="E7" t="s">
        <v>204</v>
      </c>
      <c r="F7" t="s">
        <v>209</v>
      </c>
    </row>
    <row r="8" spans="1:6" x14ac:dyDescent="0.35">
      <c r="A8" t="s">
        <v>10</v>
      </c>
      <c r="B8" t="s">
        <v>188</v>
      </c>
      <c r="C8">
        <f>1 / 10.5</f>
        <v>9.5238095238095233E-2</v>
      </c>
      <c r="D8" t="s">
        <v>194</v>
      </c>
      <c r="E8" t="s">
        <v>199</v>
      </c>
      <c r="F8" t="s">
        <v>210</v>
      </c>
    </row>
    <row r="9" spans="1:6" x14ac:dyDescent="0.35">
      <c r="A9" t="s">
        <v>11</v>
      </c>
      <c r="B9" t="s">
        <v>188</v>
      </c>
      <c r="C9">
        <f>1 * 3.6 / 31.58</f>
        <v>0.11399620012666245</v>
      </c>
      <c r="D9" t="s">
        <v>194</v>
      </c>
      <c r="E9" t="s">
        <v>199</v>
      </c>
      <c r="F9" t="s">
        <v>211</v>
      </c>
    </row>
    <row r="10" spans="1:6" x14ac:dyDescent="0.35">
      <c r="A10" t="s">
        <v>12</v>
      </c>
      <c r="B10" t="s">
        <v>189</v>
      </c>
      <c r="C10">
        <f>(24*0.86)/2.7 / 1000000</f>
        <v>7.6444444444444432E-6</v>
      </c>
      <c r="D10" t="s">
        <v>195</v>
      </c>
      <c r="E10" t="s">
        <v>203</v>
      </c>
      <c r="F10" t="s">
        <v>212</v>
      </c>
    </row>
    <row r="11" spans="1:6" x14ac:dyDescent="0.35">
      <c r="A11" t="s">
        <v>12</v>
      </c>
      <c r="B11" t="s">
        <v>191</v>
      </c>
      <c r="C11">
        <f>1 / 5.54</f>
        <v>0.18050541516245489</v>
      </c>
      <c r="D11" t="s">
        <v>194</v>
      </c>
      <c r="E11" t="s">
        <v>199</v>
      </c>
      <c r="F11" t="s">
        <v>212</v>
      </c>
    </row>
    <row r="12" spans="1:6" x14ac:dyDescent="0.35">
      <c r="A12" t="s">
        <v>13</v>
      </c>
      <c r="B12" t="s">
        <v>191</v>
      </c>
      <c r="C12">
        <f>1/13.9</f>
        <v>7.1942446043165464E-2</v>
      </c>
      <c r="D12" t="s">
        <v>194</v>
      </c>
      <c r="E12" t="s">
        <v>199</v>
      </c>
      <c r="F12" t="s">
        <v>213</v>
      </c>
    </row>
    <row r="13" spans="1:6" x14ac:dyDescent="0.35">
      <c r="A13" t="s">
        <v>13</v>
      </c>
      <c r="B13" t="s">
        <v>189</v>
      </c>
      <c r="C13">
        <f>8760 * 0.85 / (13.9 * 0.05 * 1000) / 1000000</f>
        <v>1.0713669064748199E-5</v>
      </c>
      <c r="D13" t="s">
        <v>195</v>
      </c>
      <c r="E13" t="s">
        <v>203</v>
      </c>
      <c r="F13" t="s">
        <v>214</v>
      </c>
    </row>
    <row r="14" spans="1:6" x14ac:dyDescent="0.35">
      <c r="A14" t="s">
        <v>14</v>
      </c>
      <c r="B14" t="s">
        <v>189</v>
      </c>
      <c r="C14">
        <f>3.6 * 8760 * 0.86 / (0.05 * 1000 * 47.1) / 1000000</f>
        <v>1.1516331210191084E-5</v>
      </c>
      <c r="D14" t="s">
        <v>195</v>
      </c>
      <c r="E14" t="s">
        <v>203</v>
      </c>
      <c r="F14" t="s">
        <v>215</v>
      </c>
    </row>
    <row r="15" spans="1:6" x14ac:dyDescent="0.35">
      <c r="A15" t="s">
        <v>14</v>
      </c>
      <c r="B15" t="s">
        <v>191</v>
      </c>
      <c r="C15">
        <f>1/(47.1/3.6)</f>
        <v>7.6433121019108277E-2</v>
      </c>
      <c r="D15" t="s">
        <v>194</v>
      </c>
      <c r="E15" t="s">
        <v>199</v>
      </c>
      <c r="F15" t="s">
        <v>215</v>
      </c>
    </row>
    <row r="16" spans="1:6" x14ac:dyDescent="0.35">
      <c r="A16" t="s">
        <v>15</v>
      </c>
      <c r="B16" t="s">
        <v>191</v>
      </c>
      <c r="C16">
        <v>1</v>
      </c>
      <c r="D16" t="s">
        <v>196</v>
      </c>
      <c r="E16" t="s">
        <v>196</v>
      </c>
    </row>
    <row r="17" spans="1:6" x14ac:dyDescent="0.35">
      <c r="A17" t="s">
        <v>15</v>
      </c>
      <c r="B17" t="s">
        <v>189</v>
      </c>
      <c r="C17">
        <v>8.5166699999999997E-7</v>
      </c>
      <c r="D17" t="s">
        <v>195</v>
      </c>
      <c r="E17" t="s">
        <v>205</v>
      </c>
      <c r="F17" t="s">
        <v>216</v>
      </c>
    </row>
    <row r="18" spans="1:6" x14ac:dyDescent="0.35">
      <c r="A18" t="s">
        <v>16</v>
      </c>
      <c r="B18" t="s">
        <v>191</v>
      </c>
      <c r="C18">
        <v>1</v>
      </c>
      <c r="D18" t="s">
        <v>196</v>
      </c>
      <c r="E18" t="s">
        <v>196</v>
      </c>
    </row>
    <row r="19" spans="1:6" x14ac:dyDescent="0.35">
      <c r="A19" t="s">
        <v>16</v>
      </c>
      <c r="B19" t="s">
        <v>189</v>
      </c>
      <c r="C19">
        <v>8.5166699999999997E-7</v>
      </c>
      <c r="D19" t="s">
        <v>195</v>
      </c>
      <c r="E19" t="s">
        <v>205</v>
      </c>
      <c r="F19" t="s">
        <v>216</v>
      </c>
    </row>
    <row r="20" spans="1:6" x14ac:dyDescent="0.35">
      <c r="A20" t="s">
        <v>17</v>
      </c>
      <c r="B20" t="s">
        <v>191</v>
      </c>
      <c r="C20">
        <v>1</v>
      </c>
      <c r="D20" t="s">
        <v>196</v>
      </c>
      <c r="E20" t="s">
        <v>196</v>
      </c>
    </row>
    <row r="21" spans="1:6" x14ac:dyDescent="0.35">
      <c r="A21" t="s">
        <v>17</v>
      </c>
      <c r="B21" t="s">
        <v>189</v>
      </c>
      <c r="C21">
        <v>8.5166699999999997E-7</v>
      </c>
      <c r="D21" t="s">
        <v>195</v>
      </c>
      <c r="E21" t="s">
        <v>205</v>
      </c>
      <c r="F21" t="s">
        <v>216</v>
      </c>
    </row>
    <row r="22" spans="1:6" x14ac:dyDescent="0.35">
      <c r="A22" t="s">
        <v>18</v>
      </c>
      <c r="B22" t="s">
        <v>191</v>
      </c>
      <c r="C22">
        <f>1</f>
        <v>1</v>
      </c>
      <c r="D22" t="s">
        <v>197</v>
      </c>
      <c r="E22" t="s">
        <v>197</v>
      </c>
      <c r="F22" t="s">
        <v>217</v>
      </c>
    </row>
    <row r="23" spans="1:6" x14ac:dyDescent="0.35">
      <c r="A23" t="s">
        <v>18</v>
      </c>
      <c r="B23" t="s">
        <v>189</v>
      </c>
      <c r="C23">
        <f>1 * 8760 * 0.297 / (24 * 39000)</f>
        <v>2.7796153846153843E-3</v>
      </c>
      <c r="D23" t="s">
        <v>195</v>
      </c>
      <c r="E23" t="s">
        <v>206</v>
      </c>
      <c r="F23" t="s">
        <v>217</v>
      </c>
    </row>
    <row r="24" spans="1:6" x14ac:dyDescent="0.35">
      <c r="A24" t="s">
        <v>19</v>
      </c>
      <c r="B24" t="s">
        <v>191</v>
      </c>
      <c r="C24">
        <f>1</f>
        <v>1</v>
      </c>
      <c r="D24" t="s">
        <v>197</v>
      </c>
      <c r="E24" t="s">
        <v>197</v>
      </c>
      <c r="F24" t="s">
        <v>218</v>
      </c>
    </row>
    <row r="25" spans="1:6" x14ac:dyDescent="0.35">
      <c r="A25" t="s">
        <v>19</v>
      </c>
      <c r="B25" t="s">
        <v>189</v>
      </c>
      <c r="C25">
        <f>1 * 8760 * 0.297 / (24 * 39000)</f>
        <v>2.7796153846153843E-3</v>
      </c>
      <c r="D25" t="s">
        <v>195</v>
      </c>
      <c r="E25" t="s">
        <v>206</v>
      </c>
      <c r="F25" t="s">
        <v>218</v>
      </c>
    </row>
    <row r="26" spans="1:6" x14ac:dyDescent="0.35">
      <c r="A26" t="s">
        <v>20</v>
      </c>
      <c r="B26" t="s">
        <v>189</v>
      </c>
      <c r="C26">
        <f>1 * 8760 * 0.297 / (24 * 39000)</f>
        <v>2.7796153846153843E-3</v>
      </c>
      <c r="D26" t="s">
        <v>195</v>
      </c>
      <c r="E26" t="s">
        <v>206</v>
      </c>
      <c r="F26" t="s">
        <v>218</v>
      </c>
    </row>
    <row r="27" spans="1:6" x14ac:dyDescent="0.35">
      <c r="A27" t="s">
        <v>20</v>
      </c>
      <c r="B27" t="s">
        <v>191</v>
      </c>
      <c r="C27">
        <f>1</f>
        <v>1</v>
      </c>
      <c r="D27" t="s">
        <v>197</v>
      </c>
      <c r="E27" t="s">
        <v>197</v>
      </c>
      <c r="F27" t="s">
        <v>218</v>
      </c>
    </row>
    <row r="28" spans="1:6" x14ac:dyDescent="0.35">
      <c r="A28" t="s">
        <v>21</v>
      </c>
      <c r="B28" t="s">
        <v>189</v>
      </c>
      <c r="C28">
        <f>1 * 8760 * 0.297 / (24 * 39000)</f>
        <v>2.7796153846153843E-3</v>
      </c>
      <c r="D28" t="s">
        <v>195</v>
      </c>
      <c r="E28" t="s">
        <v>206</v>
      </c>
      <c r="F28" t="s">
        <v>218</v>
      </c>
    </row>
    <row r="29" spans="1:6" x14ac:dyDescent="0.35">
      <c r="A29" t="s">
        <v>21</v>
      </c>
      <c r="B29" t="s">
        <v>191</v>
      </c>
      <c r="C29">
        <f>1</f>
        <v>1</v>
      </c>
      <c r="D29" t="s">
        <v>197</v>
      </c>
      <c r="E29" t="s">
        <v>197</v>
      </c>
      <c r="F29" t="s">
        <v>218</v>
      </c>
    </row>
    <row r="30" spans="1:6" x14ac:dyDescent="0.35">
      <c r="A30" t="s">
        <v>22</v>
      </c>
      <c r="B30" t="s">
        <v>189</v>
      </c>
      <c r="C30">
        <f>1 * 8760 * 0.051 / (1.5 * 7600)</f>
        <v>3.9189473684210524E-2</v>
      </c>
      <c r="D30" t="s">
        <v>195</v>
      </c>
      <c r="E30" t="s">
        <v>206</v>
      </c>
      <c r="F30" t="s">
        <v>219</v>
      </c>
    </row>
    <row r="31" spans="1:6" x14ac:dyDescent="0.35">
      <c r="A31" t="s">
        <v>22</v>
      </c>
      <c r="B31" t="s">
        <v>191</v>
      </c>
      <c r="C31">
        <f>1 / 1.5</f>
        <v>0.66666666666666663</v>
      </c>
      <c r="D31" t="s">
        <v>198</v>
      </c>
      <c r="E31" t="s">
        <v>197</v>
      </c>
      <c r="F31" t="s">
        <v>219</v>
      </c>
    </row>
    <row r="32" spans="1:6" x14ac:dyDescent="0.35">
      <c r="A32" t="s">
        <v>23</v>
      </c>
      <c r="B32" t="s">
        <v>191</v>
      </c>
      <c r="C32">
        <f>1 / 1.5</f>
        <v>0.66666666666666663</v>
      </c>
      <c r="D32" t="s">
        <v>198</v>
      </c>
      <c r="E32" t="s">
        <v>197</v>
      </c>
      <c r="F32" t="s">
        <v>219</v>
      </c>
    </row>
    <row r="33" spans="1:6" x14ac:dyDescent="0.35">
      <c r="A33" t="s">
        <v>23</v>
      </c>
      <c r="B33" t="s">
        <v>189</v>
      </c>
      <c r="C33">
        <f>1 * 8760 * 0.051 / (1.5 * 7600)</f>
        <v>3.9189473684210524E-2</v>
      </c>
      <c r="D33" t="s">
        <v>195</v>
      </c>
      <c r="E33" t="s">
        <v>206</v>
      </c>
      <c r="F33" t="s">
        <v>219</v>
      </c>
    </row>
    <row r="34" spans="1:6" x14ac:dyDescent="0.35">
      <c r="A34" t="s">
        <v>24</v>
      </c>
      <c r="B34" t="s">
        <v>189</v>
      </c>
      <c r="C34">
        <f>1 * 8760 * 0.051 / (1.5 * 7600)</f>
        <v>3.9189473684210524E-2</v>
      </c>
      <c r="D34" t="s">
        <v>195</v>
      </c>
      <c r="E34" t="s">
        <v>206</v>
      </c>
      <c r="F34" t="s">
        <v>219</v>
      </c>
    </row>
    <row r="35" spans="1:6" x14ac:dyDescent="0.35">
      <c r="A35" t="s">
        <v>24</v>
      </c>
      <c r="B35" t="s">
        <v>191</v>
      </c>
      <c r="C35">
        <f>1 / 1.5</f>
        <v>0.66666666666666663</v>
      </c>
      <c r="D35" t="s">
        <v>198</v>
      </c>
      <c r="E35" t="s">
        <v>197</v>
      </c>
      <c r="F35" t="s">
        <v>219</v>
      </c>
    </row>
    <row r="36" spans="1:6" x14ac:dyDescent="0.35">
      <c r="A36" t="s">
        <v>25</v>
      </c>
      <c r="B36" t="s">
        <v>191</v>
      </c>
      <c r="C36">
        <f>1 / 1.5</f>
        <v>0.66666666666666663</v>
      </c>
      <c r="D36" t="s">
        <v>198</v>
      </c>
      <c r="E36" t="s">
        <v>197</v>
      </c>
      <c r="F36" t="s">
        <v>219</v>
      </c>
    </row>
    <row r="37" spans="1:6" x14ac:dyDescent="0.35">
      <c r="A37" t="s">
        <v>25</v>
      </c>
      <c r="B37" t="s">
        <v>189</v>
      </c>
      <c r="C37">
        <f>1 * 8760 * 0.051 / (1.5 * 7600)</f>
        <v>3.9189473684210524E-2</v>
      </c>
      <c r="D37" t="s">
        <v>195</v>
      </c>
      <c r="E37" t="s">
        <v>206</v>
      </c>
      <c r="F37" t="s">
        <v>219</v>
      </c>
    </row>
    <row r="38" spans="1:6" x14ac:dyDescent="0.35">
      <c r="A38" t="s">
        <v>26</v>
      </c>
      <c r="B38" t="s">
        <v>189</v>
      </c>
      <c r="C38">
        <f>1 * 8760 * 0.051 / (1.5 * 7600)</f>
        <v>3.9189473684210524E-2</v>
      </c>
      <c r="D38" t="s">
        <v>195</v>
      </c>
      <c r="E38" t="s">
        <v>206</v>
      </c>
      <c r="F38" t="s">
        <v>219</v>
      </c>
    </row>
    <row r="39" spans="1:6" x14ac:dyDescent="0.35">
      <c r="A39" t="s">
        <v>26</v>
      </c>
      <c r="B39" t="s">
        <v>191</v>
      </c>
      <c r="C39">
        <f>1 / 1.5</f>
        <v>0.66666666666666663</v>
      </c>
      <c r="D39" t="s">
        <v>198</v>
      </c>
      <c r="E39" t="s">
        <v>197</v>
      </c>
      <c r="F39" t="s">
        <v>219</v>
      </c>
    </row>
    <row r="40" spans="1:6" x14ac:dyDescent="0.35">
      <c r="A40" t="s">
        <v>27</v>
      </c>
      <c r="B40" t="s">
        <v>191</v>
      </c>
      <c r="C40">
        <f>1 / 1.5</f>
        <v>0.66666666666666663</v>
      </c>
      <c r="D40" t="s">
        <v>198</v>
      </c>
      <c r="E40" t="s">
        <v>197</v>
      </c>
      <c r="F40" t="s">
        <v>219</v>
      </c>
    </row>
    <row r="41" spans="1:6" x14ac:dyDescent="0.35">
      <c r="A41" t="s">
        <v>27</v>
      </c>
      <c r="B41" t="s">
        <v>189</v>
      </c>
      <c r="C41">
        <f>1 * 8760 * 0.051 / (1.5 * 7600)</f>
        <v>3.9189473684210524E-2</v>
      </c>
      <c r="D41" t="s">
        <v>195</v>
      </c>
      <c r="E41" t="s">
        <v>206</v>
      </c>
      <c r="F41" t="s">
        <v>219</v>
      </c>
    </row>
    <row r="42" spans="1:6" x14ac:dyDescent="0.35">
      <c r="A42" t="s">
        <v>28</v>
      </c>
      <c r="B42" t="s">
        <v>189</v>
      </c>
      <c r="C42">
        <f>1 * 8760 * 0.051 / (1.5 * 7600)</f>
        <v>3.9189473684210524E-2</v>
      </c>
      <c r="D42" t="s">
        <v>195</v>
      </c>
      <c r="E42" t="s">
        <v>206</v>
      </c>
      <c r="F42" t="s">
        <v>219</v>
      </c>
    </row>
    <row r="43" spans="1:6" x14ac:dyDescent="0.35">
      <c r="A43" t="s">
        <v>28</v>
      </c>
      <c r="B43" t="s">
        <v>191</v>
      </c>
      <c r="C43">
        <f>1 / 1.5</f>
        <v>0.66666666666666663</v>
      </c>
      <c r="D43" t="s">
        <v>198</v>
      </c>
      <c r="E43" t="s">
        <v>197</v>
      </c>
      <c r="F43" t="s">
        <v>219</v>
      </c>
    </row>
    <row r="44" spans="1:6" x14ac:dyDescent="0.35">
      <c r="A44" t="s">
        <v>29</v>
      </c>
      <c r="B44" t="s">
        <v>191</v>
      </c>
      <c r="C44">
        <f>1 / 1.5</f>
        <v>0.66666666666666663</v>
      </c>
      <c r="D44" t="s">
        <v>198</v>
      </c>
      <c r="E44" t="s">
        <v>197</v>
      </c>
      <c r="F44" t="s">
        <v>219</v>
      </c>
    </row>
    <row r="45" spans="1:6" x14ac:dyDescent="0.35">
      <c r="A45" t="s">
        <v>29</v>
      </c>
      <c r="B45" t="s">
        <v>189</v>
      </c>
      <c r="C45">
        <f>1 * 8760 * 0.051 / (1.5 * 7600)</f>
        <v>3.9189473684210524E-2</v>
      </c>
      <c r="D45" t="s">
        <v>195</v>
      </c>
      <c r="E45" t="s">
        <v>206</v>
      </c>
      <c r="F45" t="s">
        <v>219</v>
      </c>
    </row>
    <row r="46" spans="1:6" x14ac:dyDescent="0.35">
      <c r="A46" t="s">
        <v>30</v>
      </c>
      <c r="B46" t="s">
        <v>189</v>
      </c>
      <c r="C46">
        <f>1/400 / 1000</f>
        <v>2.5000000000000002E-6</v>
      </c>
      <c r="D46" t="s">
        <v>195</v>
      </c>
      <c r="E46" t="s">
        <v>203</v>
      </c>
    </row>
    <row r="47" spans="1:6" x14ac:dyDescent="0.35">
      <c r="A47" t="s">
        <v>30</v>
      </c>
      <c r="B47" t="s">
        <v>191</v>
      </c>
      <c r="C47">
        <f>1</f>
        <v>1</v>
      </c>
      <c r="D47" t="s">
        <v>199</v>
      </c>
      <c r="E47" t="s">
        <v>199</v>
      </c>
    </row>
    <row r="48" spans="1:6" x14ac:dyDescent="0.35">
      <c r="A48" t="s">
        <v>31</v>
      </c>
      <c r="B48" t="s">
        <v>189</v>
      </c>
      <c r="C48">
        <f>1/(400*1000)</f>
        <v>2.5000000000000002E-6</v>
      </c>
      <c r="D48" t="s">
        <v>195</v>
      </c>
      <c r="E48" t="s">
        <v>203</v>
      </c>
      <c r="F48" t="s">
        <v>220</v>
      </c>
    </row>
    <row r="49" spans="1:6" x14ac:dyDescent="0.35">
      <c r="A49" t="s">
        <v>32</v>
      </c>
      <c r="B49" t="s">
        <v>192</v>
      </c>
      <c r="C49">
        <v>1</v>
      </c>
      <c r="D49" t="s">
        <v>194</v>
      </c>
      <c r="E49" t="s">
        <v>194</v>
      </c>
    </row>
    <row r="50" spans="1:6" x14ac:dyDescent="0.35">
      <c r="A50" t="s">
        <v>33</v>
      </c>
      <c r="B50" t="s">
        <v>192</v>
      </c>
      <c r="C50">
        <v>1</v>
      </c>
      <c r="D50" t="s">
        <v>194</v>
      </c>
      <c r="E50" t="s">
        <v>194</v>
      </c>
    </row>
    <row r="51" spans="1:6" x14ac:dyDescent="0.35">
      <c r="A51" t="s">
        <v>33</v>
      </c>
      <c r="B51" t="s">
        <v>192</v>
      </c>
      <c r="C51">
        <v>1</v>
      </c>
      <c r="D51" t="s">
        <v>194</v>
      </c>
      <c r="E51" t="s">
        <v>194</v>
      </c>
    </row>
    <row r="52" spans="1:6" x14ac:dyDescent="0.35">
      <c r="A52" t="s">
        <v>34</v>
      </c>
      <c r="B52" t="s">
        <v>192</v>
      </c>
      <c r="C52">
        <v>1</v>
      </c>
      <c r="D52" t="s">
        <v>194</v>
      </c>
      <c r="E52" t="s">
        <v>194</v>
      </c>
    </row>
    <row r="53" spans="1:6" x14ac:dyDescent="0.35">
      <c r="A53" t="s">
        <v>35</v>
      </c>
      <c r="B53" t="s">
        <v>192</v>
      </c>
      <c r="C53">
        <v>1</v>
      </c>
      <c r="D53" t="s">
        <v>194</v>
      </c>
      <c r="E53" t="s">
        <v>194</v>
      </c>
    </row>
    <row r="54" spans="1:6" x14ac:dyDescent="0.35">
      <c r="A54" t="s">
        <v>36</v>
      </c>
      <c r="B54" t="s">
        <v>192</v>
      </c>
      <c r="C54">
        <f>1 * 3.6 / 27.91</f>
        <v>0.12898602651379434</v>
      </c>
      <c r="D54" t="s">
        <v>194</v>
      </c>
      <c r="E54" t="s">
        <v>199</v>
      </c>
      <c r="F54" t="s">
        <v>221</v>
      </c>
    </row>
    <row r="55" spans="1:6" x14ac:dyDescent="0.35">
      <c r="A55" t="s">
        <v>36</v>
      </c>
      <c r="B55" t="s">
        <v>188</v>
      </c>
      <c r="C55">
        <f>1 * 3.6 / 27.91</f>
        <v>0.12898602651379434</v>
      </c>
      <c r="D55" t="s">
        <v>194</v>
      </c>
      <c r="E55" t="s">
        <v>199</v>
      </c>
      <c r="F55" t="s">
        <v>221</v>
      </c>
    </row>
    <row r="56" spans="1:6" x14ac:dyDescent="0.35">
      <c r="A56" t="s">
        <v>37</v>
      </c>
      <c r="B56" t="s">
        <v>191</v>
      </c>
      <c r="C56">
        <f>1</f>
        <v>1</v>
      </c>
      <c r="D56" t="s">
        <v>199</v>
      </c>
      <c r="E56" t="s">
        <v>199</v>
      </c>
    </row>
    <row r="57" spans="1:6" x14ac:dyDescent="0.35">
      <c r="A57" t="s">
        <v>37</v>
      </c>
      <c r="B57" t="s">
        <v>189</v>
      </c>
      <c r="C57">
        <f>1/450 / 1000</f>
        <v>2.2222222222222221E-6</v>
      </c>
      <c r="D57" t="s">
        <v>195</v>
      </c>
      <c r="E57" t="s">
        <v>203</v>
      </c>
    </row>
    <row r="58" spans="1:6" x14ac:dyDescent="0.35">
      <c r="A58" t="s">
        <v>38</v>
      </c>
      <c r="B58" t="s">
        <v>189</v>
      </c>
      <c r="C58">
        <f>1/380 / 1000</f>
        <v>2.6315789473684211E-6</v>
      </c>
      <c r="D58" t="s">
        <v>195</v>
      </c>
      <c r="E58" t="s">
        <v>203</v>
      </c>
    </row>
    <row r="59" spans="1:6" x14ac:dyDescent="0.35">
      <c r="A59" t="s">
        <v>38</v>
      </c>
      <c r="B59" t="s">
        <v>191</v>
      </c>
      <c r="C59">
        <v>1</v>
      </c>
      <c r="D59" t="s">
        <v>199</v>
      </c>
      <c r="E59" t="s">
        <v>199</v>
      </c>
    </row>
    <row r="60" spans="1:6" x14ac:dyDescent="0.35">
      <c r="A60" t="s">
        <v>39</v>
      </c>
      <c r="B60" t="s">
        <v>189</v>
      </c>
      <c r="C60">
        <f>2.64 / (100 * 1000)</f>
        <v>2.6400000000000001E-5</v>
      </c>
      <c r="D60" t="s">
        <v>195</v>
      </c>
      <c r="E60" t="s">
        <v>203</v>
      </c>
      <c r="F60" t="s">
        <v>222</v>
      </c>
    </row>
    <row r="61" spans="1:6" x14ac:dyDescent="0.35">
      <c r="A61" t="s">
        <v>39</v>
      </c>
      <c r="B61" t="s">
        <v>191</v>
      </c>
      <c r="C61">
        <f>3.6/0.177</f>
        <v>20.33898305084746</v>
      </c>
      <c r="D61" t="s">
        <v>200</v>
      </c>
      <c r="E61" t="s">
        <v>199</v>
      </c>
      <c r="F61" t="s">
        <v>223</v>
      </c>
    </row>
    <row r="62" spans="1:6" x14ac:dyDescent="0.35">
      <c r="A62" t="s">
        <v>40</v>
      </c>
      <c r="B62" t="s">
        <v>189</v>
      </c>
      <c r="C62">
        <f>1 / 2</f>
        <v>0.5</v>
      </c>
      <c r="D62" t="s">
        <v>195</v>
      </c>
      <c r="E62" t="s">
        <v>203</v>
      </c>
    </row>
    <row r="63" spans="1:6" x14ac:dyDescent="0.35">
      <c r="A63" t="s">
        <v>40</v>
      </c>
      <c r="B63" t="s">
        <v>191</v>
      </c>
      <c r="C63">
        <v>1</v>
      </c>
      <c r="D63" t="s">
        <v>199</v>
      </c>
      <c r="E63" t="s">
        <v>199</v>
      </c>
    </row>
    <row r="64" spans="1:6" x14ac:dyDescent="0.35">
      <c r="A64" t="s">
        <v>41</v>
      </c>
      <c r="B64" t="s">
        <v>189</v>
      </c>
      <c r="C64">
        <f>1 / 10</f>
        <v>0.1</v>
      </c>
      <c r="D64" t="s">
        <v>195</v>
      </c>
      <c r="E64" t="s">
        <v>203</v>
      </c>
    </row>
    <row r="65" spans="1:6" x14ac:dyDescent="0.35">
      <c r="A65" t="s">
        <v>41</v>
      </c>
      <c r="B65" t="s">
        <v>191</v>
      </c>
      <c r="C65">
        <f>1 * 3600 / 1000</f>
        <v>3.6</v>
      </c>
      <c r="D65" t="s">
        <v>200</v>
      </c>
      <c r="E65" t="s">
        <v>199</v>
      </c>
    </row>
    <row r="66" spans="1:6" x14ac:dyDescent="0.35">
      <c r="A66" t="s">
        <v>42</v>
      </c>
      <c r="B66" t="s">
        <v>189</v>
      </c>
      <c r="C66">
        <f>1 / 10</f>
        <v>0.1</v>
      </c>
      <c r="D66" t="s">
        <v>195</v>
      </c>
      <c r="E66" t="s">
        <v>203</v>
      </c>
    </row>
    <row r="67" spans="1:6" x14ac:dyDescent="0.35">
      <c r="A67" t="s">
        <v>42</v>
      </c>
      <c r="B67" t="s">
        <v>191</v>
      </c>
      <c r="C67">
        <f>1 * 3600 / 1000</f>
        <v>3.6</v>
      </c>
      <c r="D67" t="s">
        <v>200</v>
      </c>
      <c r="E67" t="s">
        <v>199</v>
      </c>
    </row>
    <row r="68" spans="1:6" x14ac:dyDescent="0.35">
      <c r="A68" t="s">
        <v>43</v>
      </c>
      <c r="B68" t="s">
        <v>189</v>
      </c>
      <c r="C68">
        <v>1</v>
      </c>
      <c r="D68" t="s">
        <v>195</v>
      </c>
      <c r="E68" t="s">
        <v>195</v>
      </c>
    </row>
    <row r="69" spans="1:6" x14ac:dyDescent="0.35">
      <c r="A69" t="s">
        <v>44</v>
      </c>
      <c r="B69" t="s">
        <v>189</v>
      </c>
      <c r="C69">
        <f>0.00000044092/0.00000066138</f>
        <v>0.66666666666666663</v>
      </c>
      <c r="D69" t="s">
        <v>195</v>
      </c>
      <c r="E69" t="s">
        <v>195</v>
      </c>
      <c r="F69" t="s">
        <v>224</v>
      </c>
    </row>
    <row r="70" spans="1:6" x14ac:dyDescent="0.35">
      <c r="A70" t="s">
        <v>45</v>
      </c>
      <c r="B70" t="s">
        <v>191</v>
      </c>
      <c r="C70">
        <f>1 * 3600 / 1000</f>
        <v>3.6</v>
      </c>
      <c r="D70" t="s">
        <v>200</v>
      </c>
      <c r="E70" t="s">
        <v>199</v>
      </c>
    </row>
    <row r="71" spans="1:6" x14ac:dyDescent="0.35">
      <c r="A71" t="s">
        <v>45</v>
      </c>
      <c r="B71" t="s">
        <v>189</v>
      </c>
      <c r="C71">
        <f>1 / 50</f>
        <v>0.02</v>
      </c>
      <c r="D71" t="s">
        <v>195</v>
      </c>
      <c r="E71" t="s">
        <v>203</v>
      </c>
    </row>
    <row r="72" spans="1:6" x14ac:dyDescent="0.35">
      <c r="A72" t="s">
        <v>46</v>
      </c>
      <c r="B72" t="s">
        <v>191</v>
      </c>
      <c r="C72">
        <f>(1000*3600)/0.2278 / 1000000</f>
        <v>15.803336259877085</v>
      </c>
      <c r="D72" t="s">
        <v>200</v>
      </c>
      <c r="E72" t="s">
        <v>199</v>
      </c>
      <c r="F72" t="s">
        <v>225</v>
      </c>
    </row>
    <row r="73" spans="1:6" x14ac:dyDescent="0.35">
      <c r="A73" t="s">
        <v>46</v>
      </c>
      <c r="B73" t="s">
        <v>189</v>
      </c>
      <c r="C73">
        <f>0.96 * 1000000 / 50 / 1000000</f>
        <v>1.9199999999999998E-2</v>
      </c>
      <c r="D73" t="s">
        <v>195</v>
      </c>
      <c r="E73" t="s">
        <v>203</v>
      </c>
      <c r="F73" t="s">
        <v>225</v>
      </c>
    </row>
    <row r="74" spans="1:6" x14ac:dyDescent="0.35">
      <c r="A74" t="s">
        <v>47</v>
      </c>
      <c r="B74" t="s">
        <v>189</v>
      </c>
      <c r="C74">
        <v>1</v>
      </c>
      <c r="D74" t="s">
        <v>195</v>
      </c>
      <c r="E74" t="s">
        <v>195</v>
      </c>
    </row>
    <row r="75" spans="1:6" x14ac:dyDescent="0.35">
      <c r="A75" t="s">
        <v>48</v>
      </c>
      <c r="B75" t="s">
        <v>189</v>
      </c>
      <c r="C75">
        <v>1</v>
      </c>
      <c r="D75" t="s">
        <v>195</v>
      </c>
      <c r="E75" t="s">
        <v>195</v>
      </c>
    </row>
    <row r="76" spans="1:6" x14ac:dyDescent="0.35">
      <c r="A76" t="s">
        <v>49</v>
      </c>
      <c r="B76" t="s">
        <v>189</v>
      </c>
      <c r="C76">
        <v>1</v>
      </c>
      <c r="D76" t="s">
        <v>195</v>
      </c>
      <c r="E76" t="s">
        <v>195</v>
      </c>
    </row>
    <row r="77" spans="1:6" x14ac:dyDescent="0.35">
      <c r="A77" t="s">
        <v>50</v>
      </c>
      <c r="B77" t="s">
        <v>189</v>
      </c>
      <c r="C77">
        <f>0.907 * 1000000 / 200 / 1000000</f>
        <v>4.535E-3</v>
      </c>
      <c r="D77" t="s">
        <v>195</v>
      </c>
      <c r="E77" t="s">
        <v>203</v>
      </c>
      <c r="F77" t="s">
        <v>226</v>
      </c>
    </row>
    <row r="78" spans="1:6" x14ac:dyDescent="0.35">
      <c r="A78" t="s">
        <v>50</v>
      </c>
      <c r="B78" t="s">
        <v>191</v>
      </c>
      <c r="C78">
        <f>1 * 3600 / 1000</f>
        <v>3.6</v>
      </c>
      <c r="D78" t="s">
        <v>200</v>
      </c>
      <c r="E78" t="s">
        <v>199</v>
      </c>
      <c r="F78" t="s">
        <v>226</v>
      </c>
    </row>
    <row r="79" spans="1:6" x14ac:dyDescent="0.35">
      <c r="A79" t="s">
        <v>51</v>
      </c>
      <c r="B79" t="s">
        <v>189</v>
      </c>
      <c r="C79">
        <f>1000/10</f>
        <v>100</v>
      </c>
      <c r="D79" t="s">
        <v>195</v>
      </c>
      <c r="E79" t="s">
        <v>195</v>
      </c>
    </row>
    <row r="80" spans="1:6" x14ac:dyDescent="0.35">
      <c r="A80" t="s">
        <v>52</v>
      </c>
      <c r="B80" t="s">
        <v>189</v>
      </c>
      <c r="C80">
        <f>0.00000044092/0.00000066138</f>
        <v>0.66666666666666663</v>
      </c>
      <c r="D80" t="s">
        <v>195</v>
      </c>
      <c r="E80" t="s">
        <v>195</v>
      </c>
    </row>
    <row r="81" spans="1:6" x14ac:dyDescent="0.35">
      <c r="A81" t="s">
        <v>53</v>
      </c>
      <c r="B81" t="s">
        <v>189</v>
      </c>
      <c r="C81">
        <v>1</v>
      </c>
      <c r="D81" t="s">
        <v>195</v>
      </c>
      <c r="E81" t="s">
        <v>195</v>
      </c>
      <c r="F81" t="s">
        <v>227</v>
      </c>
    </row>
    <row r="82" spans="1:6" x14ac:dyDescent="0.35">
      <c r="A82" t="s">
        <v>54</v>
      </c>
      <c r="B82" t="s">
        <v>191</v>
      </c>
      <c r="C82">
        <v>1</v>
      </c>
      <c r="D82" t="s">
        <v>199</v>
      </c>
      <c r="E82" t="s">
        <v>199</v>
      </c>
    </row>
    <row r="83" spans="1:6" x14ac:dyDescent="0.35">
      <c r="A83" t="s">
        <v>54</v>
      </c>
      <c r="B83" t="s">
        <v>189</v>
      </c>
      <c r="C83">
        <f>1 / 5</f>
        <v>0.2</v>
      </c>
      <c r="D83" t="s">
        <v>195</v>
      </c>
      <c r="E83" t="s">
        <v>203</v>
      </c>
    </row>
    <row r="84" spans="1:6" x14ac:dyDescent="0.35">
      <c r="A84" t="s">
        <v>55</v>
      </c>
      <c r="B84" t="s">
        <v>191</v>
      </c>
      <c r="C84">
        <f>1 * 3600 / 1000</f>
        <v>3.6</v>
      </c>
      <c r="D84" t="s">
        <v>200</v>
      </c>
      <c r="E84" t="s">
        <v>199</v>
      </c>
    </row>
    <row r="85" spans="1:6" x14ac:dyDescent="0.35">
      <c r="A85" t="s">
        <v>55</v>
      </c>
      <c r="B85" t="s">
        <v>189</v>
      </c>
      <c r="C85">
        <f>1 / 10</f>
        <v>0.1</v>
      </c>
      <c r="D85" t="s">
        <v>195</v>
      </c>
      <c r="E85" t="s">
        <v>203</v>
      </c>
    </row>
    <row r="86" spans="1:6" x14ac:dyDescent="0.35">
      <c r="A86" t="s">
        <v>56</v>
      </c>
      <c r="B86" t="s">
        <v>189</v>
      </c>
      <c r="C86">
        <f>1 / 0.7</f>
        <v>1.4285714285714286</v>
      </c>
      <c r="D86" t="s">
        <v>201</v>
      </c>
      <c r="E86" t="s">
        <v>203</v>
      </c>
      <c r="F86" t="s">
        <v>228</v>
      </c>
    </row>
    <row r="87" spans="1:6" x14ac:dyDescent="0.35">
      <c r="A87" t="s">
        <v>57</v>
      </c>
      <c r="B87" t="s">
        <v>191</v>
      </c>
      <c r="C87">
        <f>1 * 3600 / 1000</f>
        <v>3.6</v>
      </c>
      <c r="D87" t="s">
        <v>200</v>
      </c>
      <c r="E87" t="s">
        <v>199</v>
      </c>
    </row>
    <row r="88" spans="1:6" x14ac:dyDescent="0.35">
      <c r="A88" t="s">
        <v>57</v>
      </c>
      <c r="B88" t="s">
        <v>189</v>
      </c>
      <c r="C88">
        <f>1 / 4</f>
        <v>0.25</v>
      </c>
      <c r="D88" t="s">
        <v>195</v>
      </c>
      <c r="E88" t="s">
        <v>203</v>
      </c>
    </row>
    <row r="89" spans="1:6" x14ac:dyDescent="0.35">
      <c r="A89" t="s">
        <v>58</v>
      </c>
      <c r="B89" t="s">
        <v>189</v>
      </c>
      <c r="C89">
        <f>0.0000000641/0.000000601</f>
        <v>0.10665557404326122</v>
      </c>
      <c r="D89" t="s">
        <v>195</v>
      </c>
      <c r="E89" t="s">
        <v>195</v>
      </c>
      <c r="F89" t="s">
        <v>229</v>
      </c>
    </row>
    <row r="90" spans="1:6" x14ac:dyDescent="0.35">
      <c r="A90" t="s">
        <v>59</v>
      </c>
      <c r="B90" t="s">
        <v>189</v>
      </c>
      <c r="C90">
        <v>1</v>
      </c>
      <c r="D90" t="s">
        <v>195</v>
      </c>
      <c r="E90" t="s">
        <v>195</v>
      </c>
    </row>
    <row r="91" spans="1:6" x14ac:dyDescent="0.35">
      <c r="A91" t="s">
        <v>60</v>
      </c>
      <c r="B91" t="s">
        <v>189</v>
      </c>
      <c r="C91">
        <f>(1000000 / 100) * 1.0417 / 1000000</f>
        <v>1.0416999999999999E-2</v>
      </c>
      <c r="D91" t="s">
        <v>195</v>
      </c>
      <c r="E91" t="s">
        <v>203</v>
      </c>
      <c r="F91" t="s">
        <v>230</v>
      </c>
    </row>
    <row r="92" spans="1:6" x14ac:dyDescent="0.35">
      <c r="A92" t="s">
        <v>60</v>
      </c>
      <c r="B92" t="s">
        <v>191</v>
      </c>
      <c r="C92">
        <f>1 * 3600 / 1000</f>
        <v>3.6</v>
      </c>
      <c r="D92" t="s">
        <v>200</v>
      </c>
      <c r="E92" t="s">
        <v>199</v>
      </c>
      <c r="F92" t="s">
        <v>230</v>
      </c>
    </row>
    <row r="93" spans="1:6" x14ac:dyDescent="0.35">
      <c r="A93" t="s">
        <v>61</v>
      </c>
      <c r="B93" t="s">
        <v>189</v>
      </c>
      <c r="C93">
        <f>1.0526*1000000/1000 / 1000000</f>
        <v>1.0525999999999999E-3</v>
      </c>
      <c r="D93" t="s">
        <v>195</v>
      </c>
      <c r="E93" t="s">
        <v>203</v>
      </c>
      <c r="F93" t="s">
        <v>231</v>
      </c>
    </row>
    <row r="94" spans="1:6" x14ac:dyDescent="0.35">
      <c r="A94" t="s">
        <v>61</v>
      </c>
      <c r="B94" t="s">
        <v>191</v>
      </c>
      <c r="C94">
        <f>1 * 3600 / 1000</f>
        <v>3.6</v>
      </c>
      <c r="D94" t="s">
        <v>200</v>
      </c>
      <c r="E94" t="s">
        <v>199</v>
      </c>
      <c r="F94" t="s">
        <v>231</v>
      </c>
    </row>
    <row r="95" spans="1:6" x14ac:dyDescent="0.35">
      <c r="A95" t="s">
        <v>62</v>
      </c>
      <c r="B95" t="s">
        <v>189</v>
      </c>
      <c r="C95">
        <v>1</v>
      </c>
      <c r="D95" t="s">
        <v>195</v>
      </c>
      <c r="E95" t="s">
        <v>195</v>
      </c>
    </row>
    <row r="96" spans="1:6" x14ac:dyDescent="0.35">
      <c r="A96" t="s">
        <v>63</v>
      </c>
      <c r="B96" t="s">
        <v>189</v>
      </c>
      <c r="C96">
        <f>3.89863157894737E-08/0.000000002924</f>
        <v>13.333213334293331</v>
      </c>
      <c r="D96" t="s">
        <v>195</v>
      </c>
      <c r="E96" t="s">
        <v>195</v>
      </c>
      <c r="F96" t="s">
        <v>224</v>
      </c>
    </row>
    <row r="97" spans="1:6" x14ac:dyDescent="0.35">
      <c r="A97" t="s">
        <v>64</v>
      </c>
      <c r="B97" t="s">
        <v>189</v>
      </c>
      <c r="C97">
        <f>1 / 1000</f>
        <v>1E-3</v>
      </c>
      <c r="D97" t="s">
        <v>195</v>
      </c>
      <c r="E97" t="s">
        <v>203</v>
      </c>
    </row>
    <row r="98" spans="1:6" x14ac:dyDescent="0.35">
      <c r="A98" t="s">
        <v>64</v>
      </c>
      <c r="B98" t="s">
        <v>191</v>
      </c>
      <c r="C98">
        <f>1 * 3600 / 1000</f>
        <v>3.6</v>
      </c>
      <c r="D98" t="s">
        <v>200</v>
      </c>
      <c r="E98" t="s">
        <v>199</v>
      </c>
    </row>
    <row r="99" spans="1:6" x14ac:dyDescent="0.35">
      <c r="A99" t="s">
        <v>65</v>
      </c>
      <c r="B99" t="s">
        <v>189</v>
      </c>
      <c r="C99">
        <v>1</v>
      </c>
      <c r="D99" t="s">
        <v>195</v>
      </c>
      <c r="E99" t="s">
        <v>195</v>
      </c>
    </row>
    <row r="100" spans="1:6" x14ac:dyDescent="0.35">
      <c r="A100" t="s">
        <v>66</v>
      </c>
      <c r="B100" t="s">
        <v>189</v>
      </c>
      <c r="C100">
        <v>1</v>
      </c>
      <c r="D100" t="s">
        <v>195</v>
      </c>
      <c r="E100" t="s">
        <v>195</v>
      </c>
    </row>
    <row r="101" spans="1:6" x14ac:dyDescent="0.35">
      <c r="A101" t="s">
        <v>67</v>
      </c>
      <c r="B101" t="s">
        <v>191</v>
      </c>
      <c r="C101">
        <f>3.6 / 0.3373</f>
        <v>10.672991402312482</v>
      </c>
      <c r="D101" t="s">
        <v>200</v>
      </c>
      <c r="E101" t="s">
        <v>199</v>
      </c>
      <c r="F101" t="s">
        <v>232</v>
      </c>
    </row>
    <row r="102" spans="1:6" x14ac:dyDescent="0.35">
      <c r="A102" t="s">
        <v>67</v>
      </c>
      <c r="B102" t="s">
        <v>189</v>
      </c>
      <c r="C102">
        <f>1 / (6667*0.45)</f>
        <v>3.3331666749995831E-4</v>
      </c>
      <c r="D102" t="s">
        <v>195</v>
      </c>
      <c r="E102" t="s">
        <v>203</v>
      </c>
      <c r="F102" t="s">
        <v>233</v>
      </c>
    </row>
    <row r="103" spans="1:6" x14ac:dyDescent="0.35">
      <c r="A103" t="s">
        <v>68</v>
      </c>
      <c r="B103" t="s">
        <v>189</v>
      </c>
      <c r="C103">
        <v>1</v>
      </c>
      <c r="D103" t="s">
        <v>195</v>
      </c>
      <c r="E103" t="s">
        <v>195</v>
      </c>
    </row>
    <row r="104" spans="1:6" x14ac:dyDescent="0.35">
      <c r="A104" t="s">
        <v>69</v>
      </c>
      <c r="B104" t="s">
        <v>189</v>
      </c>
      <c r="C104">
        <v>1</v>
      </c>
      <c r="D104" t="s">
        <v>195</v>
      </c>
      <c r="E104" t="s">
        <v>195</v>
      </c>
    </row>
    <row r="105" spans="1:6" x14ac:dyDescent="0.35">
      <c r="A105" t="s">
        <v>70</v>
      </c>
      <c r="B105" t="s">
        <v>189</v>
      </c>
      <c r="C105">
        <f>6667*0.45/1000</f>
        <v>3.0001500000000001</v>
      </c>
      <c r="D105" t="s">
        <v>195</v>
      </c>
      <c r="E105" t="s">
        <v>195</v>
      </c>
      <c r="F105" t="s">
        <v>234</v>
      </c>
    </row>
    <row r="106" spans="1:6" x14ac:dyDescent="0.35">
      <c r="A106" t="s">
        <v>71</v>
      </c>
      <c r="B106" t="s">
        <v>191</v>
      </c>
      <c r="C106">
        <f>(1000 * 3600) / 0.1636 / 1000000</f>
        <v>22.004889975550121</v>
      </c>
      <c r="D106" t="s">
        <v>200</v>
      </c>
      <c r="E106" t="s">
        <v>199</v>
      </c>
      <c r="F106" t="s">
        <v>235</v>
      </c>
    </row>
    <row r="107" spans="1:6" x14ac:dyDescent="0.35">
      <c r="A107" t="s">
        <v>71</v>
      </c>
      <c r="B107" t="s">
        <v>189</v>
      </c>
      <c r="C107">
        <f>1 * 1.25 / 1000</f>
        <v>1.25E-3</v>
      </c>
      <c r="D107" t="s">
        <v>195</v>
      </c>
      <c r="E107" t="s">
        <v>203</v>
      </c>
      <c r="F107" t="s">
        <v>235</v>
      </c>
    </row>
    <row r="108" spans="1:6" x14ac:dyDescent="0.35">
      <c r="A108" t="s">
        <v>72</v>
      </c>
      <c r="B108" t="s">
        <v>189</v>
      </c>
      <c r="C108">
        <v>1</v>
      </c>
      <c r="D108" t="s">
        <v>195</v>
      </c>
      <c r="E108" t="s">
        <v>195</v>
      </c>
    </row>
    <row r="109" spans="1:6" x14ac:dyDescent="0.35">
      <c r="A109" t="s">
        <v>73</v>
      </c>
      <c r="B109" t="s">
        <v>189</v>
      </c>
      <c r="C109">
        <v>1</v>
      </c>
      <c r="D109" t="s">
        <v>195</v>
      </c>
      <c r="E109" t="s">
        <v>195</v>
      </c>
    </row>
    <row r="110" spans="1:6" x14ac:dyDescent="0.35">
      <c r="A110" t="s">
        <v>74</v>
      </c>
      <c r="B110" t="s">
        <v>189</v>
      </c>
      <c r="C110">
        <v>1</v>
      </c>
      <c r="D110" t="s">
        <v>195</v>
      </c>
      <c r="E110" t="s">
        <v>195</v>
      </c>
    </row>
    <row r="111" spans="1:6" x14ac:dyDescent="0.35">
      <c r="A111" t="s">
        <v>75</v>
      </c>
      <c r="B111" t="s">
        <v>191</v>
      </c>
      <c r="C111">
        <f>1 * 3600 / 1000</f>
        <v>3.6</v>
      </c>
      <c r="D111" t="s">
        <v>200</v>
      </c>
      <c r="E111" t="s">
        <v>199</v>
      </c>
      <c r="F111" t="s">
        <v>236</v>
      </c>
    </row>
    <row r="112" spans="1:6" x14ac:dyDescent="0.35">
      <c r="A112" t="s">
        <v>75</v>
      </c>
      <c r="B112" t="s">
        <v>189</v>
      </c>
      <c r="C112">
        <f>1 * 0.44 / 200</f>
        <v>2.2000000000000001E-3</v>
      </c>
      <c r="D112" t="s">
        <v>195</v>
      </c>
      <c r="E112" t="s">
        <v>203</v>
      </c>
      <c r="F112" t="s">
        <v>236</v>
      </c>
    </row>
    <row r="113" spans="1:6" x14ac:dyDescent="0.35">
      <c r="A113" t="s">
        <v>76</v>
      </c>
      <c r="B113" t="s">
        <v>189</v>
      </c>
      <c r="C113">
        <f>3.6 * 1000 * 8760 * 0.85 / (100 * 12.35 * 1000000 * 1/2.22)</f>
        <v>4.8184965182186242E-2</v>
      </c>
      <c r="D113" t="s">
        <v>195</v>
      </c>
      <c r="E113" t="s">
        <v>195</v>
      </c>
      <c r="F113" t="s">
        <v>237</v>
      </c>
    </row>
    <row r="114" spans="1:6" x14ac:dyDescent="0.35">
      <c r="A114" t="s">
        <v>77</v>
      </c>
      <c r="B114" t="s">
        <v>189</v>
      </c>
      <c r="C114">
        <v>1</v>
      </c>
      <c r="D114" t="s">
        <v>195</v>
      </c>
      <c r="E114" t="s">
        <v>195</v>
      </c>
      <c r="F114" t="s">
        <v>227</v>
      </c>
    </row>
    <row r="115" spans="1:6" x14ac:dyDescent="0.35">
      <c r="A115" t="s">
        <v>78</v>
      </c>
      <c r="B115" t="s">
        <v>189</v>
      </c>
      <c r="C115">
        <f>1 / (6667*0.45)</f>
        <v>3.3331666749995831E-4</v>
      </c>
      <c r="D115" t="s">
        <v>195</v>
      </c>
      <c r="E115" t="s">
        <v>203</v>
      </c>
      <c r="F115" t="s">
        <v>233</v>
      </c>
    </row>
    <row r="116" spans="1:6" x14ac:dyDescent="0.35">
      <c r="A116" t="s">
        <v>78</v>
      </c>
      <c r="B116" t="s">
        <v>191</v>
      </c>
      <c r="C116">
        <f>3.6 / 0.3373</f>
        <v>10.672991402312482</v>
      </c>
      <c r="D116" t="s">
        <v>200</v>
      </c>
      <c r="E116" t="s">
        <v>199</v>
      </c>
      <c r="F116" t="s">
        <v>232</v>
      </c>
    </row>
    <row r="117" spans="1:6" x14ac:dyDescent="0.35">
      <c r="A117" t="s">
        <v>79</v>
      </c>
      <c r="B117" t="s">
        <v>189</v>
      </c>
      <c r="C117">
        <v>1</v>
      </c>
      <c r="D117" t="s">
        <v>195</v>
      </c>
      <c r="E117" t="s">
        <v>195</v>
      </c>
    </row>
    <row r="118" spans="1:6" x14ac:dyDescent="0.35">
      <c r="A118" t="s">
        <v>80</v>
      </c>
      <c r="B118" t="s">
        <v>189</v>
      </c>
      <c r="C118">
        <v>1</v>
      </c>
      <c r="D118" t="s">
        <v>195</v>
      </c>
      <c r="E118" t="s">
        <v>195</v>
      </c>
    </row>
    <row r="119" spans="1:6" x14ac:dyDescent="0.35">
      <c r="A119" t="s">
        <v>81</v>
      </c>
      <c r="B119" t="s">
        <v>189</v>
      </c>
      <c r="C119">
        <f>6667*0.45/1000</f>
        <v>3.0001500000000001</v>
      </c>
      <c r="D119" t="s">
        <v>195</v>
      </c>
      <c r="E119" t="s">
        <v>195</v>
      </c>
      <c r="F119" t="s">
        <v>234</v>
      </c>
    </row>
    <row r="120" spans="1:6" x14ac:dyDescent="0.35">
      <c r="A120" t="s">
        <v>82</v>
      </c>
      <c r="B120" t="s">
        <v>189</v>
      </c>
      <c r="C120">
        <f>(1000000 / 6667)/0.45 / 1000000</f>
        <v>3.3331666749995831E-4</v>
      </c>
      <c r="D120" t="s">
        <v>195</v>
      </c>
      <c r="E120" t="s">
        <v>203</v>
      </c>
      <c r="F120" t="s">
        <v>238</v>
      </c>
    </row>
    <row r="121" spans="1:6" x14ac:dyDescent="0.35">
      <c r="A121" t="s">
        <v>82</v>
      </c>
      <c r="B121" t="s">
        <v>191</v>
      </c>
      <c r="C121">
        <f>(1000 * 3600) / 0.3373 / 1000000</f>
        <v>10.672991402312482</v>
      </c>
      <c r="D121" t="s">
        <v>200</v>
      </c>
      <c r="E121" t="s">
        <v>199</v>
      </c>
      <c r="F121" t="s">
        <v>238</v>
      </c>
    </row>
    <row r="122" spans="1:6" x14ac:dyDescent="0.35">
      <c r="A122" t="s">
        <v>83</v>
      </c>
      <c r="B122" t="s">
        <v>189</v>
      </c>
      <c r="C122">
        <v>1</v>
      </c>
      <c r="D122" t="s">
        <v>195</v>
      </c>
      <c r="E122" t="s">
        <v>195</v>
      </c>
    </row>
    <row r="123" spans="1:6" x14ac:dyDescent="0.35">
      <c r="A123" t="s">
        <v>84</v>
      </c>
      <c r="B123" t="s">
        <v>189</v>
      </c>
      <c r="C123">
        <v>1</v>
      </c>
      <c r="D123" t="s">
        <v>195</v>
      </c>
      <c r="E123" t="s">
        <v>195</v>
      </c>
    </row>
    <row r="124" spans="1:6" x14ac:dyDescent="0.35">
      <c r="A124" t="s">
        <v>85</v>
      </c>
      <c r="B124" t="s">
        <v>189</v>
      </c>
      <c r="C124">
        <v>1</v>
      </c>
      <c r="D124" t="s">
        <v>195</v>
      </c>
      <c r="E124" t="s">
        <v>195</v>
      </c>
      <c r="F124" t="s">
        <v>227</v>
      </c>
    </row>
    <row r="125" spans="1:6" x14ac:dyDescent="0.35">
      <c r="A125" t="s">
        <v>86</v>
      </c>
      <c r="B125" t="s">
        <v>191</v>
      </c>
      <c r="C125">
        <f>1 * 3600 / 1000</f>
        <v>3.6</v>
      </c>
      <c r="D125" t="s">
        <v>200</v>
      </c>
      <c r="E125" t="s">
        <v>199</v>
      </c>
      <c r="F125" t="s">
        <v>209</v>
      </c>
    </row>
    <row r="126" spans="1:6" x14ac:dyDescent="0.35">
      <c r="A126" t="s">
        <v>86</v>
      </c>
      <c r="B126" t="s">
        <v>189</v>
      </c>
      <c r="C126">
        <f>8760 * 0.85 * 3.6 / 1483 / 1000000</f>
        <v>1.8075252865812543E-5</v>
      </c>
      <c r="D126" t="s">
        <v>195</v>
      </c>
      <c r="E126" t="s">
        <v>203</v>
      </c>
      <c r="F126" t="s">
        <v>209</v>
      </c>
    </row>
    <row r="127" spans="1:6" x14ac:dyDescent="0.35">
      <c r="A127" t="s">
        <v>87</v>
      </c>
      <c r="B127" t="s">
        <v>189</v>
      </c>
      <c r="C127">
        <f>1 / 30</f>
        <v>3.3333333333333333E-2</v>
      </c>
      <c r="D127" t="s">
        <v>195</v>
      </c>
      <c r="E127" t="s">
        <v>203</v>
      </c>
    </row>
    <row r="128" spans="1:6" x14ac:dyDescent="0.35">
      <c r="A128" t="s">
        <v>87</v>
      </c>
      <c r="B128" t="s">
        <v>191</v>
      </c>
      <c r="C128">
        <f>1 * 3600 / 1000</f>
        <v>3.6</v>
      </c>
      <c r="D128" t="s">
        <v>200</v>
      </c>
      <c r="E128" t="s">
        <v>199</v>
      </c>
    </row>
    <row r="129" spans="1:6" x14ac:dyDescent="0.35">
      <c r="A129" t="s">
        <v>88</v>
      </c>
      <c r="B129" t="s">
        <v>189</v>
      </c>
      <c r="C129">
        <f>1/0.7</f>
        <v>1.4285714285714286</v>
      </c>
      <c r="D129" t="s">
        <v>201</v>
      </c>
      <c r="E129" t="s">
        <v>203</v>
      </c>
      <c r="F129" t="s">
        <v>228</v>
      </c>
    </row>
    <row r="130" spans="1:6" x14ac:dyDescent="0.35">
      <c r="A130" t="s">
        <v>89</v>
      </c>
      <c r="B130" t="s">
        <v>192</v>
      </c>
      <c r="C130">
        <f>1 / 11.83</f>
        <v>8.453085376162299E-2</v>
      </c>
      <c r="D130" t="s">
        <v>194</v>
      </c>
      <c r="E130" t="s">
        <v>199</v>
      </c>
      <c r="F130" t="s">
        <v>239</v>
      </c>
    </row>
    <row r="131" spans="1:6" x14ac:dyDescent="0.35">
      <c r="A131" t="s">
        <v>89</v>
      </c>
      <c r="B131" t="s">
        <v>188</v>
      </c>
      <c r="C131">
        <f>1 / 11.83</f>
        <v>8.453085376162299E-2</v>
      </c>
      <c r="D131" t="s">
        <v>194</v>
      </c>
      <c r="E131" t="s">
        <v>199</v>
      </c>
      <c r="F131" t="s">
        <v>239</v>
      </c>
    </row>
    <row r="132" spans="1:6" x14ac:dyDescent="0.35">
      <c r="A132" t="s">
        <v>90</v>
      </c>
      <c r="B132" t="s">
        <v>188</v>
      </c>
      <c r="C132">
        <f>1</f>
        <v>1</v>
      </c>
      <c r="D132" t="s">
        <v>199</v>
      </c>
      <c r="E132" t="s">
        <v>199</v>
      </c>
    </row>
    <row r="133" spans="1:6" x14ac:dyDescent="0.35">
      <c r="A133" t="s">
        <v>90</v>
      </c>
      <c r="B133" t="s">
        <v>192</v>
      </c>
      <c r="C133">
        <f>1</f>
        <v>1</v>
      </c>
      <c r="D133" t="s">
        <v>199</v>
      </c>
      <c r="E133" t="s">
        <v>199</v>
      </c>
    </row>
    <row r="134" spans="1:6" x14ac:dyDescent="0.35">
      <c r="A134" t="s">
        <v>91</v>
      </c>
      <c r="B134" t="s">
        <v>188</v>
      </c>
      <c r="C134">
        <f>-1 * 1000000 / 1000000</f>
        <v>-1</v>
      </c>
      <c r="D134" t="s">
        <v>199</v>
      </c>
      <c r="E134" t="s">
        <v>199</v>
      </c>
      <c r="F134" t="s">
        <v>240</v>
      </c>
    </row>
    <row r="135" spans="1:6" x14ac:dyDescent="0.35">
      <c r="A135" t="s">
        <v>92</v>
      </c>
      <c r="B135" t="s">
        <v>188</v>
      </c>
      <c r="C135">
        <f>1 / (0.777 * 13.1)</f>
        <v>9.8244373053533368E-2</v>
      </c>
      <c r="D135" t="s">
        <v>202</v>
      </c>
      <c r="E135" t="s">
        <v>199</v>
      </c>
      <c r="F135" t="s">
        <v>241</v>
      </c>
    </row>
    <row r="136" spans="1:6" x14ac:dyDescent="0.35">
      <c r="A136" t="s">
        <v>92</v>
      </c>
      <c r="B136" t="s">
        <v>192</v>
      </c>
      <c r="C136">
        <f>1 / (0.777 * 13.1)</f>
        <v>9.8244373053533368E-2</v>
      </c>
      <c r="D136" t="s">
        <v>202</v>
      </c>
      <c r="E136" t="s">
        <v>199</v>
      </c>
      <c r="F136" t="s">
        <v>241</v>
      </c>
    </row>
    <row r="137" spans="1:6" x14ac:dyDescent="0.35">
      <c r="A137" t="s">
        <v>93</v>
      </c>
      <c r="B137" t="s">
        <v>189</v>
      </c>
      <c r="C137">
        <f>1/5 / 1000</f>
        <v>2.0000000000000001E-4</v>
      </c>
      <c r="D137" t="s">
        <v>195</v>
      </c>
      <c r="E137" t="s">
        <v>203</v>
      </c>
      <c r="F137" t="s">
        <v>242</v>
      </c>
    </row>
    <row r="138" spans="1:6" x14ac:dyDescent="0.35">
      <c r="A138" t="s">
        <v>93</v>
      </c>
      <c r="B138" t="s">
        <v>191</v>
      </c>
      <c r="C138">
        <f>1 * 3.6 / 23.9</f>
        <v>0.15062761506276151</v>
      </c>
      <c r="D138" t="s">
        <v>194</v>
      </c>
      <c r="E138" t="s">
        <v>199</v>
      </c>
      <c r="F138" t="s">
        <v>242</v>
      </c>
    </row>
    <row r="139" spans="1:6" x14ac:dyDescent="0.35">
      <c r="A139" t="s">
        <v>94</v>
      </c>
      <c r="B139" t="s">
        <v>189</v>
      </c>
      <c r="C139">
        <v>1</v>
      </c>
      <c r="D139" t="s">
        <v>195</v>
      </c>
      <c r="E139" t="s">
        <v>195</v>
      </c>
    </row>
    <row r="140" spans="1:6" x14ac:dyDescent="0.35">
      <c r="A140" t="s">
        <v>95</v>
      </c>
      <c r="B140" t="s">
        <v>189</v>
      </c>
      <c r="C140">
        <f>0.00000000254628/5.3483199147628E-10</f>
        <v>4.7608969556431795</v>
      </c>
      <c r="D140" t="s">
        <v>195</v>
      </c>
      <c r="E140" t="s">
        <v>195</v>
      </c>
    </row>
    <row r="141" spans="1:6" x14ac:dyDescent="0.35">
      <c r="A141" t="s">
        <v>96</v>
      </c>
      <c r="B141" t="s">
        <v>188</v>
      </c>
      <c r="C141">
        <f>1 * 3.6 / 42.5</f>
        <v>8.4705882352941173E-2</v>
      </c>
      <c r="D141" t="s">
        <v>194</v>
      </c>
      <c r="E141" t="s">
        <v>199</v>
      </c>
      <c r="F141" t="s">
        <v>243</v>
      </c>
    </row>
    <row r="142" spans="1:6" x14ac:dyDescent="0.35">
      <c r="A142" t="s">
        <v>96</v>
      </c>
      <c r="B142" t="s">
        <v>192</v>
      </c>
      <c r="C142">
        <f>1 * 3.6 / 42.5</f>
        <v>8.4705882352941173E-2</v>
      </c>
      <c r="D142" t="s">
        <v>194</v>
      </c>
      <c r="E142" t="s">
        <v>199</v>
      </c>
      <c r="F142" t="s">
        <v>243</v>
      </c>
    </row>
    <row r="143" spans="1:6" x14ac:dyDescent="0.35">
      <c r="A143" t="s">
        <v>97</v>
      </c>
      <c r="B143" t="s">
        <v>188</v>
      </c>
      <c r="C143">
        <f>3.6</f>
        <v>3.6</v>
      </c>
      <c r="D143" t="s">
        <v>200</v>
      </c>
      <c r="E143" t="s">
        <v>199</v>
      </c>
    </row>
    <row r="144" spans="1:6" x14ac:dyDescent="0.35">
      <c r="A144" t="s">
        <v>98</v>
      </c>
      <c r="B144" t="s">
        <v>191</v>
      </c>
      <c r="C144">
        <v>1</v>
      </c>
      <c r="D144" t="s">
        <v>199</v>
      </c>
      <c r="E144" t="s">
        <v>199</v>
      </c>
      <c r="F144" t="s">
        <v>244</v>
      </c>
    </row>
    <row r="145" spans="1:6" x14ac:dyDescent="0.35">
      <c r="A145" t="s">
        <v>98</v>
      </c>
      <c r="B145" t="s">
        <v>189</v>
      </c>
      <c r="C145">
        <f>1/5.5 / 1000</f>
        <v>1.8181818181818183E-4</v>
      </c>
      <c r="D145" t="s">
        <v>195</v>
      </c>
      <c r="E145" t="s">
        <v>203</v>
      </c>
      <c r="F145" t="s">
        <v>244</v>
      </c>
    </row>
    <row r="146" spans="1:6" x14ac:dyDescent="0.35">
      <c r="A146" t="s">
        <v>99</v>
      </c>
      <c r="B146" t="s">
        <v>188</v>
      </c>
      <c r="C146">
        <f>1 / 33.3</f>
        <v>3.0030030030030033E-2</v>
      </c>
      <c r="D146" t="s">
        <v>194</v>
      </c>
      <c r="E146" t="s">
        <v>199</v>
      </c>
      <c r="F146" t="s">
        <v>245</v>
      </c>
    </row>
    <row r="147" spans="1:6" x14ac:dyDescent="0.35">
      <c r="A147" t="s">
        <v>99</v>
      </c>
      <c r="B147" t="s">
        <v>192</v>
      </c>
      <c r="C147">
        <f>1 / 33.3</f>
        <v>3.0030030030030033E-2</v>
      </c>
      <c r="D147" t="s">
        <v>194</v>
      </c>
      <c r="E147" t="s">
        <v>199</v>
      </c>
      <c r="F147" t="s">
        <v>245</v>
      </c>
    </row>
    <row r="148" spans="1:6" x14ac:dyDescent="0.35">
      <c r="A148" t="s">
        <v>100</v>
      </c>
      <c r="B148" t="s">
        <v>191</v>
      </c>
      <c r="C148">
        <f>1/33.3</f>
        <v>3.0030030030030033E-2</v>
      </c>
      <c r="D148" t="s">
        <v>194</v>
      </c>
      <c r="E148" t="s">
        <v>199</v>
      </c>
      <c r="F148" t="s">
        <v>246</v>
      </c>
    </row>
    <row r="149" spans="1:6" x14ac:dyDescent="0.35">
      <c r="A149" t="s">
        <v>100</v>
      </c>
      <c r="B149" t="s">
        <v>189</v>
      </c>
      <c r="C149">
        <f>1000/5000000</f>
        <v>2.0000000000000001E-4</v>
      </c>
      <c r="D149" t="s">
        <v>195</v>
      </c>
      <c r="E149" t="s">
        <v>203</v>
      </c>
      <c r="F149" t="s">
        <v>247</v>
      </c>
    </row>
    <row r="150" spans="1:6" x14ac:dyDescent="0.35">
      <c r="A150" t="s">
        <v>101</v>
      </c>
      <c r="B150" t="s">
        <v>189</v>
      </c>
      <c r="C150">
        <v>1</v>
      </c>
      <c r="D150" t="s">
        <v>195</v>
      </c>
      <c r="E150" t="s">
        <v>195</v>
      </c>
    </row>
    <row r="151" spans="1:6" x14ac:dyDescent="0.35">
      <c r="A151" t="s">
        <v>102</v>
      </c>
      <c r="B151" t="s">
        <v>189</v>
      </c>
      <c r="C151">
        <f>0.00000000254628/5.3483199147628E-10</f>
        <v>4.7608969556431795</v>
      </c>
      <c r="D151" t="s">
        <v>195</v>
      </c>
      <c r="E151" t="s">
        <v>195</v>
      </c>
      <c r="F151" t="s">
        <v>248</v>
      </c>
    </row>
    <row r="152" spans="1:6" x14ac:dyDescent="0.35">
      <c r="A152" t="s">
        <v>103</v>
      </c>
      <c r="B152" t="s">
        <v>189</v>
      </c>
      <c r="C152">
        <f>1/(33.3/51.8) / 1000</f>
        <v>1.5555555555555559E-3</v>
      </c>
      <c r="D152" t="s">
        <v>195</v>
      </c>
      <c r="E152" t="s">
        <v>203</v>
      </c>
      <c r="F152" t="s">
        <v>249</v>
      </c>
    </row>
    <row r="153" spans="1:6" x14ac:dyDescent="0.35">
      <c r="A153" t="s">
        <v>103</v>
      </c>
      <c r="B153" t="s">
        <v>191</v>
      </c>
      <c r="C153">
        <f>1 / 33.3</f>
        <v>3.0030030030030033E-2</v>
      </c>
      <c r="D153" t="s">
        <v>194</v>
      </c>
      <c r="E153" t="s">
        <v>199</v>
      </c>
      <c r="F153" t="s">
        <v>249</v>
      </c>
    </row>
    <row r="154" spans="1:6" x14ac:dyDescent="0.35">
      <c r="A154" t="s">
        <v>104</v>
      </c>
      <c r="B154" t="s">
        <v>189</v>
      </c>
      <c r="C154">
        <v>1</v>
      </c>
      <c r="D154" t="s">
        <v>195</v>
      </c>
      <c r="E154" t="s">
        <v>195</v>
      </c>
    </row>
    <row r="155" spans="1:6" x14ac:dyDescent="0.35">
      <c r="A155" t="s">
        <v>105</v>
      </c>
      <c r="B155" t="s">
        <v>189</v>
      </c>
      <c r="C155">
        <v>1</v>
      </c>
      <c r="D155" t="s">
        <v>195</v>
      </c>
      <c r="E155" t="s">
        <v>195</v>
      </c>
    </row>
    <row r="156" spans="1:6" x14ac:dyDescent="0.35">
      <c r="A156" t="s">
        <v>106</v>
      </c>
      <c r="B156" t="s">
        <v>188</v>
      </c>
      <c r="C156">
        <f>1/33.3</f>
        <v>3.0030030030030033E-2</v>
      </c>
      <c r="D156" t="s">
        <v>194</v>
      </c>
      <c r="E156" t="s">
        <v>199</v>
      </c>
      <c r="F156" t="s">
        <v>250</v>
      </c>
    </row>
    <row r="157" spans="1:6" x14ac:dyDescent="0.35">
      <c r="A157" t="s">
        <v>107</v>
      </c>
      <c r="B157" t="s">
        <v>191</v>
      </c>
      <c r="C157">
        <f>3.6/22.5</f>
        <v>0.16</v>
      </c>
      <c r="D157" t="s">
        <v>194</v>
      </c>
      <c r="E157" t="s">
        <v>199</v>
      </c>
      <c r="F157" t="s">
        <v>207</v>
      </c>
    </row>
    <row r="158" spans="1:6" x14ac:dyDescent="0.35">
      <c r="A158" t="s">
        <v>107</v>
      </c>
      <c r="B158" t="s">
        <v>189</v>
      </c>
      <c r="C158">
        <f>8760 * 0.85 * 3.6 / (22.6 * 0.05 * 1000) / 1000000</f>
        <v>2.3721769911504422E-5</v>
      </c>
      <c r="D158" t="s">
        <v>195</v>
      </c>
      <c r="E158" t="s">
        <v>203</v>
      </c>
      <c r="F158" t="s">
        <v>251</v>
      </c>
    </row>
    <row r="159" spans="1:6" x14ac:dyDescent="0.35">
      <c r="A159" t="s">
        <v>108</v>
      </c>
      <c r="B159" t="s">
        <v>191</v>
      </c>
      <c r="C159">
        <v>1</v>
      </c>
      <c r="D159" t="s">
        <v>199</v>
      </c>
      <c r="E159" t="s">
        <v>199</v>
      </c>
      <c r="F159" t="s">
        <v>252</v>
      </c>
    </row>
    <row r="160" spans="1:6" x14ac:dyDescent="0.35">
      <c r="A160" t="s">
        <v>108</v>
      </c>
      <c r="B160" t="s">
        <v>189</v>
      </c>
      <c r="C160">
        <f>8760*0.484 / 15484 / 1000000</f>
        <v>2.73820718160682E-7</v>
      </c>
      <c r="D160" t="s">
        <v>195</v>
      </c>
      <c r="E160" t="s">
        <v>203</v>
      </c>
      <c r="F160" t="s">
        <v>252</v>
      </c>
    </row>
    <row r="161" spans="1:6" x14ac:dyDescent="0.35">
      <c r="A161" t="s">
        <v>109</v>
      </c>
      <c r="B161" t="s">
        <v>191</v>
      </c>
      <c r="C161">
        <v>1</v>
      </c>
      <c r="D161" t="s">
        <v>194</v>
      </c>
      <c r="E161" t="s">
        <v>194</v>
      </c>
    </row>
    <row r="162" spans="1:6" x14ac:dyDescent="0.35">
      <c r="A162" t="s">
        <v>110</v>
      </c>
      <c r="B162" t="s">
        <v>191</v>
      </c>
      <c r="C162">
        <f>1 * 3600 / 1000</f>
        <v>3.6</v>
      </c>
      <c r="D162" t="s">
        <v>200</v>
      </c>
      <c r="E162" t="s">
        <v>199</v>
      </c>
      <c r="F162" t="s">
        <v>253</v>
      </c>
    </row>
    <row r="163" spans="1:6" x14ac:dyDescent="0.35">
      <c r="A163" t="s">
        <v>110</v>
      </c>
      <c r="B163" t="s">
        <v>189</v>
      </c>
      <c r="C163">
        <f>1 / 1000</f>
        <v>1E-3</v>
      </c>
      <c r="D163" t="s">
        <v>195</v>
      </c>
      <c r="E163" t="s">
        <v>203</v>
      </c>
      <c r="F163" t="s">
        <v>253</v>
      </c>
    </row>
    <row r="164" spans="1:6" x14ac:dyDescent="0.35">
      <c r="A164" t="s">
        <v>111</v>
      </c>
      <c r="B164" t="s">
        <v>189</v>
      </c>
      <c r="C164">
        <f>1/100</f>
        <v>0.01</v>
      </c>
      <c r="D164" t="s">
        <v>195</v>
      </c>
      <c r="E164" t="s">
        <v>203</v>
      </c>
    </row>
    <row r="165" spans="1:6" x14ac:dyDescent="0.35">
      <c r="A165" t="s">
        <v>111</v>
      </c>
      <c r="B165" t="s">
        <v>191</v>
      </c>
      <c r="C165">
        <f>1 * 3600 / 1000</f>
        <v>3.6</v>
      </c>
      <c r="D165" t="s">
        <v>200</v>
      </c>
      <c r="E165" t="s">
        <v>199</v>
      </c>
    </row>
    <row r="166" spans="1:6" x14ac:dyDescent="0.35">
      <c r="A166" t="s">
        <v>112</v>
      </c>
      <c r="B166" t="s">
        <v>191</v>
      </c>
      <c r="C166">
        <f>1 * 3600 / 1000</f>
        <v>3.6</v>
      </c>
      <c r="D166" t="s">
        <v>200</v>
      </c>
      <c r="E166" t="s">
        <v>199</v>
      </c>
    </row>
    <row r="167" spans="1:6" x14ac:dyDescent="0.35">
      <c r="A167" t="s">
        <v>112</v>
      </c>
      <c r="B167" t="s">
        <v>189</v>
      </c>
      <c r="C167">
        <f>1 / 1000</f>
        <v>1E-3</v>
      </c>
      <c r="D167" t="s">
        <v>195</v>
      </c>
      <c r="E167" t="s">
        <v>203</v>
      </c>
    </row>
    <row r="168" spans="1:6" x14ac:dyDescent="0.35">
      <c r="A168" t="s">
        <v>113</v>
      </c>
      <c r="B168" t="s">
        <v>189</v>
      </c>
      <c r="C168">
        <v>1</v>
      </c>
      <c r="D168" t="s">
        <v>195</v>
      </c>
      <c r="E168" t="s">
        <v>195</v>
      </c>
    </row>
    <row r="169" spans="1:6" x14ac:dyDescent="0.35">
      <c r="A169" t="s">
        <v>114</v>
      </c>
      <c r="B169" t="s">
        <v>189</v>
      </c>
      <c r="C169">
        <f>3.89863157894737E-08/0.000000002924</f>
        <v>13.333213334293331</v>
      </c>
      <c r="D169" t="s">
        <v>195</v>
      </c>
      <c r="E169" t="s">
        <v>195</v>
      </c>
      <c r="F169" t="s">
        <v>224</v>
      </c>
    </row>
    <row r="170" spans="1:6" x14ac:dyDescent="0.35">
      <c r="A170" t="s">
        <v>115</v>
      </c>
      <c r="B170" t="s">
        <v>191</v>
      </c>
      <c r="C170">
        <f>1 * 3600 / 1000</f>
        <v>3.6</v>
      </c>
      <c r="D170" t="s">
        <v>200</v>
      </c>
      <c r="E170" t="s">
        <v>199</v>
      </c>
      <c r="F170" t="s">
        <v>254</v>
      </c>
    </row>
    <row r="171" spans="1:6" x14ac:dyDescent="0.35">
      <c r="A171" t="s">
        <v>115</v>
      </c>
      <c r="B171" t="s">
        <v>189</v>
      </c>
      <c r="C171">
        <f>3.6 * 8760 * 0.9 / (100 * 12.35 * 1/1.2195) / 1000000</f>
        <v>2.8026183643724697E-5</v>
      </c>
      <c r="D171" t="s">
        <v>195</v>
      </c>
      <c r="E171" t="s">
        <v>203</v>
      </c>
      <c r="F171" t="s">
        <v>254</v>
      </c>
    </row>
    <row r="172" spans="1:6" x14ac:dyDescent="0.35">
      <c r="A172" t="s">
        <v>116</v>
      </c>
      <c r="B172" t="s">
        <v>191</v>
      </c>
      <c r="C172">
        <f>1 * 3600 / 1000</f>
        <v>3.6</v>
      </c>
      <c r="D172" t="s">
        <v>200</v>
      </c>
      <c r="E172" t="s">
        <v>199</v>
      </c>
    </row>
    <row r="173" spans="1:6" x14ac:dyDescent="0.35">
      <c r="A173" t="s">
        <v>116</v>
      </c>
      <c r="B173" t="s">
        <v>189</v>
      </c>
      <c r="C173">
        <f>1 / 1000</f>
        <v>1E-3</v>
      </c>
      <c r="D173" t="s">
        <v>195</v>
      </c>
      <c r="E173" t="s">
        <v>203</v>
      </c>
    </row>
    <row r="174" spans="1:6" x14ac:dyDescent="0.35">
      <c r="A174" t="s">
        <v>117</v>
      </c>
      <c r="B174" t="s">
        <v>189</v>
      </c>
      <c r="C174">
        <f>0.956 * (1000000000 / 1000000) / 1000000</f>
        <v>9.5600000000000004E-4</v>
      </c>
      <c r="D174" t="s">
        <v>195</v>
      </c>
      <c r="E174" t="s">
        <v>203</v>
      </c>
      <c r="F174" t="s">
        <v>255</v>
      </c>
    </row>
    <row r="175" spans="1:6" x14ac:dyDescent="0.35">
      <c r="A175" t="s">
        <v>117</v>
      </c>
      <c r="B175" t="s">
        <v>191</v>
      </c>
      <c r="C175">
        <f>(1000 * 3600) / 0.1636 / 1000000</f>
        <v>22.004889975550121</v>
      </c>
      <c r="D175" t="s">
        <v>200</v>
      </c>
      <c r="E175" t="s">
        <v>199</v>
      </c>
      <c r="F175" t="s">
        <v>255</v>
      </c>
    </row>
    <row r="176" spans="1:6" x14ac:dyDescent="0.35">
      <c r="A176" t="s">
        <v>118</v>
      </c>
      <c r="B176" t="s">
        <v>189</v>
      </c>
      <c r="C176">
        <v>1</v>
      </c>
      <c r="D176" t="s">
        <v>195</v>
      </c>
      <c r="E176" t="s">
        <v>195</v>
      </c>
    </row>
    <row r="177" spans="1:6" x14ac:dyDescent="0.35">
      <c r="A177" t="s">
        <v>119</v>
      </c>
      <c r="B177" t="s">
        <v>189</v>
      </c>
      <c r="C177">
        <v>1</v>
      </c>
      <c r="D177" t="s">
        <v>195</v>
      </c>
      <c r="E177" t="s">
        <v>195</v>
      </c>
    </row>
    <row r="178" spans="1:6" x14ac:dyDescent="0.35">
      <c r="A178" t="s">
        <v>120</v>
      </c>
      <c r="B178" t="s">
        <v>189</v>
      </c>
      <c r="C178">
        <v>1</v>
      </c>
      <c r="D178" t="s">
        <v>195</v>
      </c>
      <c r="E178" t="s">
        <v>195</v>
      </c>
    </row>
    <row r="179" spans="1:6" x14ac:dyDescent="0.35">
      <c r="A179" t="s">
        <v>121</v>
      </c>
      <c r="B179" t="s">
        <v>189</v>
      </c>
      <c r="C179">
        <f>1000 / 1000000</f>
        <v>1E-3</v>
      </c>
      <c r="D179" t="s">
        <v>195</v>
      </c>
      <c r="E179" t="s">
        <v>203</v>
      </c>
    </row>
    <row r="180" spans="1:6" x14ac:dyDescent="0.35">
      <c r="A180" t="s">
        <v>121</v>
      </c>
      <c r="B180" t="s">
        <v>191</v>
      </c>
      <c r="C180">
        <f>1 * 3600 / 1000</f>
        <v>3.6</v>
      </c>
      <c r="D180" t="s">
        <v>200</v>
      </c>
      <c r="E180" t="s">
        <v>199</v>
      </c>
    </row>
    <row r="181" spans="1:6" x14ac:dyDescent="0.35">
      <c r="A181" t="s">
        <v>122</v>
      </c>
      <c r="B181" t="s">
        <v>189</v>
      </c>
      <c r="C181">
        <f>3.6 * 8760 * 0.85 / (100 * 12.35 * 1000 * 1/1.2195)</f>
        <v>2.6469173441295547E-2</v>
      </c>
      <c r="D181" t="s">
        <v>195</v>
      </c>
      <c r="E181" t="s">
        <v>195</v>
      </c>
      <c r="F181" t="s">
        <v>256</v>
      </c>
    </row>
    <row r="182" spans="1:6" x14ac:dyDescent="0.35">
      <c r="A182" t="s">
        <v>123</v>
      </c>
      <c r="B182" t="s">
        <v>189</v>
      </c>
      <c r="C182">
        <v>1</v>
      </c>
      <c r="D182" t="s">
        <v>195</v>
      </c>
      <c r="E182" t="s">
        <v>195</v>
      </c>
      <c r="F182" t="s">
        <v>227</v>
      </c>
    </row>
    <row r="183" spans="1:6" x14ac:dyDescent="0.35">
      <c r="A183" t="s">
        <v>124</v>
      </c>
      <c r="B183" t="s">
        <v>189</v>
      </c>
      <c r="C183">
        <f>(1000000 / 6667)/0.45 / 1000000</f>
        <v>3.3331666749995831E-4</v>
      </c>
      <c r="D183" t="s">
        <v>195</v>
      </c>
      <c r="E183" t="s">
        <v>203</v>
      </c>
      <c r="F183" t="s">
        <v>238</v>
      </c>
    </row>
    <row r="184" spans="1:6" x14ac:dyDescent="0.35">
      <c r="A184" t="s">
        <v>124</v>
      </c>
      <c r="B184" t="s">
        <v>191</v>
      </c>
      <c r="C184">
        <f>(1000 * 3600) / 0.3373 / 1000000</f>
        <v>10.672991402312482</v>
      </c>
      <c r="D184" t="s">
        <v>200</v>
      </c>
      <c r="E184" t="s">
        <v>199</v>
      </c>
      <c r="F184" t="s">
        <v>238</v>
      </c>
    </row>
    <row r="185" spans="1:6" x14ac:dyDescent="0.35">
      <c r="A185" t="s">
        <v>125</v>
      </c>
      <c r="B185" t="s">
        <v>189</v>
      </c>
      <c r="C185">
        <v>1</v>
      </c>
      <c r="D185" t="s">
        <v>195</v>
      </c>
      <c r="E185" t="s">
        <v>195</v>
      </c>
    </row>
    <row r="186" spans="1:6" x14ac:dyDescent="0.35">
      <c r="A186" t="s">
        <v>126</v>
      </c>
      <c r="B186" t="s">
        <v>189</v>
      </c>
      <c r="C186">
        <v>1</v>
      </c>
      <c r="D186" t="s">
        <v>195</v>
      </c>
      <c r="E186" t="s">
        <v>195</v>
      </c>
    </row>
    <row r="187" spans="1:6" x14ac:dyDescent="0.35">
      <c r="A187" t="s">
        <v>127</v>
      </c>
      <c r="B187" t="s">
        <v>189</v>
      </c>
      <c r="C187">
        <v>1</v>
      </c>
      <c r="D187" t="s">
        <v>195</v>
      </c>
      <c r="E187" t="s">
        <v>195</v>
      </c>
    </row>
    <row r="188" spans="1:6" x14ac:dyDescent="0.35">
      <c r="A188" t="s">
        <v>128</v>
      </c>
      <c r="B188" t="s">
        <v>191</v>
      </c>
      <c r="C188">
        <v>1</v>
      </c>
      <c r="D188" t="s">
        <v>199</v>
      </c>
      <c r="E188" t="s">
        <v>199</v>
      </c>
    </row>
    <row r="189" spans="1:6" x14ac:dyDescent="0.35">
      <c r="A189" t="s">
        <v>128</v>
      </c>
      <c r="B189" t="s">
        <v>189</v>
      </c>
      <c r="C189">
        <f>1 / 5</f>
        <v>0.2</v>
      </c>
      <c r="D189" t="s">
        <v>195</v>
      </c>
      <c r="E189" t="s">
        <v>203</v>
      </c>
    </row>
    <row r="190" spans="1:6" x14ac:dyDescent="0.35">
      <c r="A190" t="s">
        <v>129</v>
      </c>
      <c r="B190" t="s">
        <v>192</v>
      </c>
      <c r="C190">
        <f>1 * 3.6 / 42.6</f>
        <v>8.4507042253521125E-2</v>
      </c>
      <c r="D190" t="s">
        <v>194</v>
      </c>
      <c r="E190" t="s">
        <v>199</v>
      </c>
      <c r="F190" t="s">
        <v>257</v>
      </c>
    </row>
    <row r="191" spans="1:6" x14ac:dyDescent="0.35">
      <c r="A191" t="s">
        <v>129</v>
      </c>
      <c r="B191" t="s">
        <v>188</v>
      </c>
      <c r="C191">
        <f>1 * 3.6 / 42.6</f>
        <v>8.4507042253521125E-2</v>
      </c>
      <c r="D191" t="s">
        <v>194</v>
      </c>
      <c r="E191" t="s">
        <v>199</v>
      </c>
      <c r="F191" t="s">
        <v>257</v>
      </c>
    </row>
    <row r="192" spans="1:6" x14ac:dyDescent="0.35">
      <c r="A192" t="s">
        <v>130</v>
      </c>
      <c r="B192" t="s">
        <v>191</v>
      </c>
      <c r="C192">
        <f>1 / 5.54</f>
        <v>0.18050541516245489</v>
      </c>
      <c r="D192" t="s">
        <v>194</v>
      </c>
      <c r="E192" t="s">
        <v>199</v>
      </c>
      <c r="F192" t="s">
        <v>258</v>
      </c>
    </row>
    <row r="193" spans="1:6" x14ac:dyDescent="0.35">
      <c r="A193" t="s">
        <v>130</v>
      </c>
      <c r="B193" t="s">
        <v>189</v>
      </c>
      <c r="C193">
        <f>(24*0.86)/2.7 / 1000000</f>
        <v>7.6444444444444432E-6</v>
      </c>
      <c r="D193" t="s">
        <v>195</v>
      </c>
      <c r="E193" t="s">
        <v>203</v>
      </c>
      <c r="F193" t="s">
        <v>258</v>
      </c>
    </row>
    <row r="194" spans="1:6" x14ac:dyDescent="0.35">
      <c r="A194" t="s">
        <v>131</v>
      </c>
      <c r="B194" t="s">
        <v>192</v>
      </c>
      <c r="C194">
        <f>1 / 5.54</f>
        <v>0.18050541516245489</v>
      </c>
      <c r="D194" t="s">
        <v>194</v>
      </c>
      <c r="E194" t="s">
        <v>199</v>
      </c>
      <c r="F194" t="s">
        <v>259</v>
      </c>
    </row>
    <row r="195" spans="1:6" x14ac:dyDescent="0.35">
      <c r="A195" t="s">
        <v>131</v>
      </c>
      <c r="B195" t="s">
        <v>188</v>
      </c>
      <c r="C195">
        <f>1 / 5.54</f>
        <v>0.18050541516245489</v>
      </c>
      <c r="D195" t="s">
        <v>194</v>
      </c>
      <c r="E195" t="s">
        <v>199</v>
      </c>
      <c r="F195" t="s">
        <v>259</v>
      </c>
    </row>
    <row r="196" spans="1:6" x14ac:dyDescent="0.35">
      <c r="A196" t="s">
        <v>132</v>
      </c>
      <c r="B196" t="s">
        <v>188</v>
      </c>
      <c r="C196">
        <f>1/5.54</f>
        <v>0.18050541516245489</v>
      </c>
      <c r="D196" t="s">
        <v>194</v>
      </c>
      <c r="E196" t="s">
        <v>199</v>
      </c>
      <c r="F196" t="s">
        <v>260</v>
      </c>
    </row>
    <row r="197" spans="1:6" x14ac:dyDescent="0.35">
      <c r="A197" t="s">
        <v>133</v>
      </c>
      <c r="B197" t="s">
        <v>191</v>
      </c>
      <c r="C197">
        <v>1</v>
      </c>
      <c r="D197" t="s">
        <v>199</v>
      </c>
      <c r="E197" t="s">
        <v>199</v>
      </c>
      <c r="F197" t="s">
        <v>261</v>
      </c>
    </row>
    <row r="198" spans="1:6" x14ac:dyDescent="0.35">
      <c r="A198" t="s">
        <v>133</v>
      </c>
      <c r="B198" t="s">
        <v>189</v>
      </c>
      <c r="C198">
        <v>9.9999999999999995E-7</v>
      </c>
      <c r="D198" t="s">
        <v>195</v>
      </c>
      <c r="E198" t="s">
        <v>203</v>
      </c>
      <c r="F198" t="s">
        <v>261</v>
      </c>
    </row>
    <row r="199" spans="1:6" x14ac:dyDescent="0.35">
      <c r="A199" t="s">
        <v>134</v>
      </c>
      <c r="B199" t="s">
        <v>191</v>
      </c>
      <c r="C199">
        <f>1</f>
        <v>1</v>
      </c>
      <c r="D199" t="s">
        <v>199</v>
      </c>
      <c r="E199" t="s">
        <v>199</v>
      </c>
    </row>
    <row r="200" spans="1:6" x14ac:dyDescent="0.35">
      <c r="A200" t="s">
        <v>134</v>
      </c>
      <c r="B200" t="s">
        <v>189</v>
      </c>
      <c r="C200">
        <f>1/0.003 / 1000</f>
        <v>0.33333333333333331</v>
      </c>
      <c r="D200" t="s">
        <v>195</v>
      </c>
      <c r="E200" t="s">
        <v>203</v>
      </c>
    </row>
    <row r="201" spans="1:6" x14ac:dyDescent="0.35">
      <c r="A201" t="s">
        <v>135</v>
      </c>
      <c r="B201" t="s">
        <v>191</v>
      </c>
      <c r="C201">
        <f>1/7.89</f>
        <v>0.1267427122940431</v>
      </c>
      <c r="D201" t="s">
        <v>194</v>
      </c>
      <c r="E201" t="s">
        <v>199</v>
      </c>
      <c r="F201" t="s">
        <v>262</v>
      </c>
    </row>
    <row r="202" spans="1:6" x14ac:dyDescent="0.35">
      <c r="A202" t="s">
        <v>135</v>
      </c>
      <c r="B202" t="s">
        <v>189</v>
      </c>
      <c r="C202">
        <f>8760 * 0.85 / (7.89 * 0.05 * 1000) / 1000000</f>
        <v>1.8874524714828898E-5</v>
      </c>
      <c r="D202" t="s">
        <v>195</v>
      </c>
      <c r="E202" t="s">
        <v>203</v>
      </c>
      <c r="F202" t="s">
        <v>263</v>
      </c>
    </row>
    <row r="203" spans="1:6" x14ac:dyDescent="0.35">
      <c r="A203" t="s">
        <v>136</v>
      </c>
      <c r="B203" t="s">
        <v>191</v>
      </c>
      <c r="C203">
        <f>1/11.28</f>
        <v>8.8652482269503549E-2</v>
      </c>
      <c r="D203" t="s">
        <v>194</v>
      </c>
      <c r="E203" t="s">
        <v>199</v>
      </c>
      <c r="F203" t="s">
        <v>264</v>
      </c>
    </row>
    <row r="204" spans="1:6" x14ac:dyDescent="0.35">
      <c r="A204" t="s">
        <v>136</v>
      </c>
      <c r="B204" t="s">
        <v>189</v>
      </c>
      <c r="C204">
        <f>8760 * 0.85 / (0.05 * 1000 * 11.28) / 1000000</f>
        <v>1.3202127659574469E-5</v>
      </c>
      <c r="D204" t="s">
        <v>195</v>
      </c>
      <c r="E204" t="s">
        <v>203</v>
      </c>
      <c r="F204" t="s">
        <v>264</v>
      </c>
    </row>
    <row r="205" spans="1:6" x14ac:dyDescent="0.35">
      <c r="A205" t="s">
        <v>137</v>
      </c>
      <c r="B205" t="s">
        <v>189</v>
      </c>
      <c r="C205">
        <f>8760*0.85 / (0.05 * 1000 * 33.3) / 1000000</f>
        <v>4.4720720720720726E-6</v>
      </c>
      <c r="D205" t="s">
        <v>195</v>
      </c>
      <c r="E205" t="s">
        <v>203</v>
      </c>
      <c r="F205" t="s">
        <v>208</v>
      </c>
    </row>
    <row r="206" spans="1:6" x14ac:dyDescent="0.35">
      <c r="A206" t="s">
        <v>137</v>
      </c>
      <c r="B206" t="s">
        <v>191</v>
      </c>
      <c r="C206">
        <f>1/33.3</f>
        <v>3.0030030030030033E-2</v>
      </c>
      <c r="D206" t="s">
        <v>194</v>
      </c>
      <c r="E206" t="s">
        <v>199</v>
      </c>
      <c r="F206" t="s">
        <v>246</v>
      </c>
    </row>
    <row r="207" spans="1:6" x14ac:dyDescent="0.35">
      <c r="A207" t="s">
        <v>138</v>
      </c>
      <c r="B207" t="s">
        <v>189</v>
      </c>
      <c r="C207">
        <v>1</v>
      </c>
      <c r="D207" t="s">
        <v>195</v>
      </c>
      <c r="E207" t="s">
        <v>195</v>
      </c>
    </row>
    <row r="208" spans="1:6" x14ac:dyDescent="0.35">
      <c r="A208" t="s">
        <v>139</v>
      </c>
      <c r="B208" t="s">
        <v>189</v>
      </c>
      <c r="C208">
        <f>0.00000000254628/5.3483199147628E-10</f>
        <v>4.7608969556431795</v>
      </c>
      <c r="D208" t="s">
        <v>195</v>
      </c>
      <c r="E208" t="s">
        <v>195</v>
      </c>
      <c r="F208" t="s">
        <v>248</v>
      </c>
    </row>
    <row r="209" spans="1:6" x14ac:dyDescent="0.35">
      <c r="A209" t="s">
        <v>140</v>
      </c>
      <c r="B209" t="s">
        <v>189</v>
      </c>
      <c r="C209">
        <f>8760 * 0.85 / (13.9 * 0.05 * 1000) / 1000000</f>
        <v>1.0713669064748199E-5</v>
      </c>
      <c r="D209" t="s">
        <v>195</v>
      </c>
      <c r="E209" t="s">
        <v>203</v>
      </c>
      <c r="F209" t="s">
        <v>214</v>
      </c>
    </row>
    <row r="210" spans="1:6" x14ac:dyDescent="0.35">
      <c r="A210" t="s">
        <v>140</v>
      </c>
      <c r="B210" t="s">
        <v>191</v>
      </c>
      <c r="C210">
        <f>1/13.9</f>
        <v>7.1942446043165464E-2</v>
      </c>
      <c r="D210" t="s">
        <v>194</v>
      </c>
      <c r="E210" t="s">
        <v>199</v>
      </c>
      <c r="F210" t="s">
        <v>213</v>
      </c>
    </row>
    <row r="211" spans="1:6" x14ac:dyDescent="0.35">
      <c r="A211" t="s">
        <v>141</v>
      </c>
      <c r="B211" t="s">
        <v>189</v>
      </c>
      <c r="C211">
        <f>8760 * 0.85 / (5.54 * 0.05 * 1000) / 1000000</f>
        <v>2.6880866425992777E-5</v>
      </c>
      <c r="D211" t="s">
        <v>195</v>
      </c>
      <c r="E211" t="s">
        <v>203</v>
      </c>
      <c r="F211" t="s">
        <v>265</v>
      </c>
    </row>
    <row r="212" spans="1:6" x14ac:dyDescent="0.35">
      <c r="A212" t="s">
        <v>142</v>
      </c>
      <c r="B212" t="s">
        <v>191</v>
      </c>
      <c r="C212">
        <v>1</v>
      </c>
      <c r="D212" t="s">
        <v>196</v>
      </c>
      <c r="E212" t="s">
        <v>196</v>
      </c>
      <c r="F212" t="s">
        <v>266</v>
      </c>
    </row>
    <row r="213" spans="1:6" x14ac:dyDescent="0.35">
      <c r="A213" t="s">
        <v>142</v>
      </c>
      <c r="B213" t="s">
        <v>189</v>
      </c>
      <c r="C213">
        <f>(1000000 * 40 * 8760 * 0.342) / (9600000 * 20 * 26) / 1000000</f>
        <v>2.4005769230769232E-5</v>
      </c>
      <c r="D213" t="s">
        <v>195</v>
      </c>
      <c r="E213" t="s">
        <v>205</v>
      </c>
      <c r="F213" t="s">
        <v>266</v>
      </c>
    </row>
    <row r="214" spans="1:6" x14ac:dyDescent="0.35">
      <c r="A214" t="s">
        <v>143</v>
      </c>
      <c r="B214" t="s">
        <v>189</v>
      </c>
      <c r="C214">
        <v>2</v>
      </c>
      <c r="D214" t="s">
        <v>195</v>
      </c>
      <c r="E214" t="s">
        <v>195</v>
      </c>
      <c r="F214" t="s">
        <v>267</v>
      </c>
    </row>
    <row r="215" spans="1:6" x14ac:dyDescent="0.35">
      <c r="A215" t="s">
        <v>144</v>
      </c>
      <c r="B215" t="s">
        <v>189</v>
      </c>
      <c r="C215">
        <v>20</v>
      </c>
      <c r="D215" t="s">
        <v>195</v>
      </c>
      <c r="E215" t="s">
        <v>195</v>
      </c>
      <c r="F215" t="s">
        <v>268</v>
      </c>
    </row>
    <row r="216" spans="1:6" x14ac:dyDescent="0.35">
      <c r="A216" t="s">
        <v>145</v>
      </c>
      <c r="B216" t="s">
        <v>191</v>
      </c>
      <c r="C216">
        <f>1</f>
        <v>1</v>
      </c>
      <c r="D216" t="s">
        <v>197</v>
      </c>
      <c r="E216" t="s">
        <v>197</v>
      </c>
      <c r="F216" t="s">
        <v>269</v>
      </c>
    </row>
    <row r="217" spans="1:6" x14ac:dyDescent="0.35">
      <c r="A217" t="s">
        <v>145</v>
      </c>
      <c r="B217" t="s">
        <v>189</v>
      </c>
      <c r="C217">
        <f>1 * 8760 * 0.275 / (343 * 400000)</f>
        <v>1.7558309037900874E-5</v>
      </c>
      <c r="D217" t="s">
        <v>195</v>
      </c>
      <c r="E217" t="s">
        <v>206</v>
      </c>
      <c r="F217" t="s">
        <v>269</v>
      </c>
    </row>
    <row r="218" spans="1:6" x14ac:dyDescent="0.35">
      <c r="A218" t="s">
        <v>146</v>
      </c>
      <c r="B218" t="s">
        <v>189</v>
      </c>
      <c r="C218">
        <f>1 * 8760 * 0.342 / (28 * 27300)</f>
        <v>3.9193092621664051E-3</v>
      </c>
      <c r="D218" t="s">
        <v>195</v>
      </c>
      <c r="E218" t="s">
        <v>206</v>
      </c>
      <c r="F218" t="s">
        <v>270</v>
      </c>
    </row>
    <row r="219" spans="1:6" x14ac:dyDescent="0.35">
      <c r="A219" t="s">
        <v>146</v>
      </c>
      <c r="B219" t="s">
        <v>191</v>
      </c>
      <c r="C219">
        <f>1</f>
        <v>1</v>
      </c>
      <c r="D219" t="s">
        <v>197</v>
      </c>
      <c r="E219" t="s">
        <v>197</v>
      </c>
      <c r="F219" t="s">
        <v>270</v>
      </c>
    </row>
    <row r="220" spans="1:6" x14ac:dyDescent="0.35">
      <c r="A220" t="s">
        <v>147</v>
      </c>
      <c r="B220" t="s">
        <v>191</v>
      </c>
      <c r="C220">
        <f>1</f>
        <v>1</v>
      </c>
      <c r="D220" t="s">
        <v>196</v>
      </c>
      <c r="E220" t="s">
        <v>196</v>
      </c>
      <c r="F220" t="s">
        <v>271</v>
      </c>
    </row>
    <row r="221" spans="1:6" x14ac:dyDescent="0.35">
      <c r="A221" t="s">
        <v>147</v>
      </c>
      <c r="B221" t="s">
        <v>189</v>
      </c>
      <c r="C221">
        <f>15 * 8760 * 0.093 * 1000000 / (580000 * 13.4) / 1000000</f>
        <v>1.5723365928975812E-3</v>
      </c>
      <c r="D221" t="s">
        <v>195</v>
      </c>
      <c r="E221" t="s">
        <v>205</v>
      </c>
      <c r="F221" t="s">
        <v>271</v>
      </c>
    </row>
    <row r="222" spans="1:6" x14ac:dyDescent="0.35">
      <c r="A222" t="s">
        <v>148</v>
      </c>
      <c r="B222" t="s">
        <v>189</v>
      </c>
      <c r="C222">
        <f>15 * 8760 * 0.093 * 1000000 / (580000 * 13.4) / 1000000</f>
        <v>1.5723365928975812E-3</v>
      </c>
      <c r="D222" t="s">
        <v>195</v>
      </c>
      <c r="E222" t="s">
        <v>205</v>
      </c>
      <c r="F222" t="s">
        <v>271</v>
      </c>
    </row>
    <row r="223" spans="1:6" x14ac:dyDescent="0.35">
      <c r="A223" t="s">
        <v>148</v>
      </c>
      <c r="B223" t="s">
        <v>191</v>
      </c>
      <c r="C223">
        <f>1</f>
        <v>1</v>
      </c>
      <c r="D223" t="s">
        <v>196</v>
      </c>
      <c r="E223" t="s">
        <v>196</v>
      </c>
      <c r="F223" t="s">
        <v>271</v>
      </c>
    </row>
    <row r="224" spans="1:6" x14ac:dyDescent="0.35">
      <c r="A224" t="s">
        <v>149</v>
      </c>
      <c r="B224" t="s">
        <v>191</v>
      </c>
      <c r="C224">
        <v>1</v>
      </c>
      <c r="D224" t="s">
        <v>196</v>
      </c>
      <c r="E224" t="s">
        <v>196</v>
      </c>
    </row>
    <row r="225" spans="1:6" x14ac:dyDescent="0.35">
      <c r="A225" t="s">
        <v>149</v>
      </c>
      <c r="B225" t="s">
        <v>189</v>
      </c>
      <c r="C225">
        <f>15 * 8760 * 0.093 * 1000000 / (315000 * 7.4) / 1000000</f>
        <v>5.2424710424710426E-3</v>
      </c>
      <c r="D225" t="s">
        <v>195</v>
      </c>
      <c r="E225" t="s">
        <v>205</v>
      </c>
      <c r="F225" t="s">
        <v>272</v>
      </c>
    </row>
    <row r="226" spans="1:6" x14ac:dyDescent="0.35">
      <c r="A226" t="s">
        <v>150</v>
      </c>
      <c r="B226" t="s">
        <v>191</v>
      </c>
      <c r="C226">
        <v>1</v>
      </c>
      <c r="D226" t="s">
        <v>196</v>
      </c>
      <c r="E226" t="s">
        <v>196</v>
      </c>
    </row>
    <row r="227" spans="1:6" x14ac:dyDescent="0.35">
      <c r="A227" t="s">
        <v>150</v>
      </c>
      <c r="B227" t="s">
        <v>189</v>
      </c>
      <c r="C227">
        <f>15 * 8760 * 0.093 * 1000000 / (580000 * 13.4) / 1000000</f>
        <v>1.5723365928975812E-3</v>
      </c>
      <c r="D227" t="s">
        <v>195</v>
      </c>
      <c r="E227" t="s">
        <v>205</v>
      </c>
      <c r="F227" t="s">
        <v>271</v>
      </c>
    </row>
    <row r="228" spans="1:6" x14ac:dyDescent="0.35">
      <c r="A228" t="s">
        <v>151</v>
      </c>
      <c r="B228" t="s">
        <v>191</v>
      </c>
      <c r="C228">
        <f>1</f>
        <v>1</v>
      </c>
      <c r="D228" t="s">
        <v>196</v>
      </c>
      <c r="E228" t="s">
        <v>196</v>
      </c>
      <c r="F228" t="s">
        <v>271</v>
      </c>
    </row>
    <row r="229" spans="1:6" x14ac:dyDescent="0.35">
      <c r="A229" t="s">
        <v>151</v>
      </c>
      <c r="B229" t="s">
        <v>189</v>
      </c>
      <c r="C229">
        <f>15 * 8760 * 0.093 * 1000000 / (580000 * 13.4) / 1000000</f>
        <v>1.5723365928975812E-3</v>
      </c>
      <c r="D229" t="s">
        <v>195</v>
      </c>
      <c r="E229" t="s">
        <v>205</v>
      </c>
      <c r="F229" t="s">
        <v>271</v>
      </c>
    </row>
    <row r="230" spans="1:6" x14ac:dyDescent="0.35">
      <c r="A230" t="s">
        <v>152</v>
      </c>
      <c r="B230" t="s">
        <v>188</v>
      </c>
      <c r="C230">
        <f>1 * 3.6 / (3900*1000)</f>
        <v>9.2307692307692312E-7</v>
      </c>
      <c r="D230" t="s">
        <v>194</v>
      </c>
      <c r="E230" t="s">
        <v>199</v>
      </c>
      <c r="F230" t="s">
        <v>273</v>
      </c>
    </row>
    <row r="231" spans="1:6" x14ac:dyDescent="0.35">
      <c r="A231" t="s">
        <v>152</v>
      </c>
      <c r="B231" t="s">
        <v>192</v>
      </c>
      <c r="C231">
        <f>1 * 3.6 / (3900*1000)</f>
        <v>9.2307692307692312E-7</v>
      </c>
      <c r="D231" t="s">
        <v>194</v>
      </c>
      <c r="E231" t="s">
        <v>199</v>
      </c>
      <c r="F231" t="s">
        <v>273</v>
      </c>
    </row>
    <row r="232" spans="1:6" x14ac:dyDescent="0.35">
      <c r="A232" t="s">
        <v>153</v>
      </c>
      <c r="B232" t="s">
        <v>192</v>
      </c>
      <c r="C232">
        <f>-1 * 1000000 * 3.6 / 12.35 / 1000000</f>
        <v>-0.29149797570850206</v>
      </c>
      <c r="D232" t="s">
        <v>194</v>
      </c>
      <c r="E232" t="s">
        <v>199</v>
      </c>
      <c r="F232" t="s">
        <v>274</v>
      </c>
    </row>
    <row r="233" spans="1:6" x14ac:dyDescent="0.35">
      <c r="A233" t="s">
        <v>153</v>
      </c>
      <c r="B233" t="s">
        <v>188</v>
      </c>
      <c r="C233">
        <f>-1 * 1000000 * 3.6 / 12.35 / 1000000</f>
        <v>-0.29149797570850206</v>
      </c>
      <c r="D233" t="s">
        <v>194</v>
      </c>
      <c r="E233" t="s">
        <v>199</v>
      </c>
      <c r="F233" t="s">
        <v>274</v>
      </c>
    </row>
    <row r="234" spans="1:6" x14ac:dyDescent="0.35">
      <c r="A234" t="s">
        <v>154</v>
      </c>
      <c r="B234" t="s">
        <v>188</v>
      </c>
      <c r="C234">
        <f>1 * 3.6 / (0.95*15) / 1000000</f>
        <v>2.5263157894736841E-7</v>
      </c>
      <c r="D234" t="s">
        <v>194</v>
      </c>
      <c r="E234" t="s">
        <v>199</v>
      </c>
      <c r="F234" t="s">
        <v>275</v>
      </c>
    </row>
    <row r="235" spans="1:6" x14ac:dyDescent="0.35">
      <c r="A235" t="s">
        <v>154</v>
      </c>
      <c r="B235" t="s">
        <v>192</v>
      </c>
      <c r="C235">
        <f>1 * 3.6 / (0.95*15) / 1000000</f>
        <v>2.5263157894736841E-7</v>
      </c>
      <c r="D235" t="s">
        <v>194</v>
      </c>
      <c r="E235" t="s">
        <v>199</v>
      </c>
      <c r="F235" t="s">
        <v>275</v>
      </c>
    </row>
    <row r="236" spans="1:6" x14ac:dyDescent="0.35">
      <c r="A236" t="s">
        <v>155</v>
      </c>
      <c r="B236" t="s">
        <v>191</v>
      </c>
      <c r="C236">
        <f>1</f>
        <v>1</v>
      </c>
      <c r="D236" t="s">
        <v>199</v>
      </c>
      <c r="E236" t="s">
        <v>199</v>
      </c>
    </row>
    <row r="237" spans="1:6" x14ac:dyDescent="0.35">
      <c r="A237" t="s">
        <v>155</v>
      </c>
      <c r="B237" t="s">
        <v>189</v>
      </c>
      <c r="C237">
        <f>1000/2000000</f>
        <v>5.0000000000000001E-4</v>
      </c>
      <c r="D237" t="s">
        <v>195</v>
      </c>
      <c r="E237" t="s">
        <v>203</v>
      </c>
      <c r="F237" t="s">
        <v>276</v>
      </c>
    </row>
    <row r="238" spans="1:6" x14ac:dyDescent="0.35">
      <c r="A238" t="s">
        <v>156</v>
      </c>
      <c r="B238" t="s">
        <v>189</v>
      </c>
      <c r="C238">
        <v>1</v>
      </c>
      <c r="D238" t="s">
        <v>195</v>
      </c>
      <c r="E238" t="s">
        <v>195</v>
      </c>
    </row>
    <row r="239" spans="1:6" x14ac:dyDescent="0.35">
      <c r="A239" t="s">
        <v>157</v>
      </c>
      <c r="B239" t="s">
        <v>189</v>
      </c>
      <c r="C239">
        <v>1</v>
      </c>
      <c r="D239" t="s">
        <v>195</v>
      </c>
      <c r="E239" t="s">
        <v>195</v>
      </c>
    </row>
    <row r="240" spans="1:6" x14ac:dyDescent="0.35">
      <c r="A240" t="s">
        <v>158</v>
      </c>
      <c r="B240" t="s">
        <v>191</v>
      </c>
      <c r="C240">
        <f>1</f>
        <v>1</v>
      </c>
      <c r="D240" t="s">
        <v>199</v>
      </c>
      <c r="E240" t="s">
        <v>199</v>
      </c>
    </row>
    <row r="241" spans="1:6" x14ac:dyDescent="0.35">
      <c r="A241" t="s">
        <v>158</v>
      </c>
      <c r="B241" t="s">
        <v>189</v>
      </c>
      <c r="C241">
        <f>1000/2000000</f>
        <v>5.0000000000000001E-4</v>
      </c>
      <c r="D241" t="s">
        <v>195</v>
      </c>
      <c r="E241" t="s">
        <v>203</v>
      </c>
      <c r="F241" t="s">
        <v>276</v>
      </c>
    </row>
    <row r="242" spans="1:6" x14ac:dyDescent="0.35">
      <c r="A242" t="s">
        <v>159</v>
      </c>
      <c r="B242" t="s">
        <v>189</v>
      </c>
      <c r="C242">
        <v>1</v>
      </c>
      <c r="D242" t="s">
        <v>195</v>
      </c>
      <c r="E242" t="s">
        <v>195</v>
      </c>
    </row>
    <row r="243" spans="1:6" x14ac:dyDescent="0.35">
      <c r="A243" t="s">
        <v>160</v>
      </c>
      <c r="B243" t="s">
        <v>189</v>
      </c>
      <c r="C243">
        <v>1</v>
      </c>
      <c r="D243" t="s">
        <v>195</v>
      </c>
      <c r="E243" t="s">
        <v>195</v>
      </c>
    </row>
    <row r="244" spans="1:6" x14ac:dyDescent="0.35">
      <c r="A244" t="s">
        <v>161</v>
      </c>
      <c r="B244" t="s">
        <v>188</v>
      </c>
      <c r="C244">
        <f>1 * 3.6 / 15.4</f>
        <v>0.23376623376623376</v>
      </c>
      <c r="D244" t="s">
        <v>194</v>
      </c>
      <c r="E244" t="s">
        <v>199</v>
      </c>
      <c r="F244" t="s">
        <v>277</v>
      </c>
    </row>
    <row r="245" spans="1:6" x14ac:dyDescent="0.35">
      <c r="A245" t="s">
        <v>161</v>
      </c>
      <c r="B245" t="s">
        <v>192</v>
      </c>
      <c r="C245">
        <f>1 * 3.6 / 15.4</f>
        <v>0.23376623376623376</v>
      </c>
      <c r="D245" t="s">
        <v>194</v>
      </c>
      <c r="E245" t="s">
        <v>199</v>
      </c>
      <c r="F245" t="s">
        <v>277</v>
      </c>
    </row>
    <row r="246" spans="1:6" x14ac:dyDescent="0.35">
      <c r="A246" t="s">
        <v>162</v>
      </c>
      <c r="B246" t="s">
        <v>193</v>
      </c>
      <c r="C246">
        <f>1 * 3.6 / 42.5</f>
        <v>8.4705882352941173E-2</v>
      </c>
      <c r="D246" t="s">
        <v>194</v>
      </c>
      <c r="E246" t="s">
        <v>199</v>
      </c>
      <c r="F246" t="s">
        <v>278</v>
      </c>
    </row>
    <row r="247" spans="1:6" x14ac:dyDescent="0.35">
      <c r="A247" t="s">
        <v>163</v>
      </c>
      <c r="B247" t="s">
        <v>193</v>
      </c>
      <c r="C247">
        <f>0.777</f>
        <v>0.77700000000000002</v>
      </c>
      <c r="D247" t="s">
        <v>194</v>
      </c>
      <c r="E247" t="s">
        <v>202</v>
      </c>
      <c r="F247" t="s">
        <v>279</v>
      </c>
    </row>
    <row r="248" spans="1:6" x14ac:dyDescent="0.35">
      <c r="A248" t="s">
        <v>163</v>
      </c>
      <c r="B248" t="s">
        <v>193</v>
      </c>
      <c r="C248">
        <f>1/0.777</f>
        <v>1.287001287001287</v>
      </c>
      <c r="D248" t="s">
        <v>202</v>
      </c>
      <c r="E248" t="s">
        <v>194</v>
      </c>
      <c r="F248" t="s">
        <v>279</v>
      </c>
    </row>
    <row r="249" spans="1:6" x14ac:dyDescent="0.35">
      <c r="A249" t="s">
        <v>164</v>
      </c>
      <c r="B249" t="s">
        <v>193</v>
      </c>
      <c r="C249">
        <f>1/4.28</f>
        <v>0.23364485981308411</v>
      </c>
      <c r="D249" t="s">
        <v>194</v>
      </c>
      <c r="E249" t="s">
        <v>199</v>
      </c>
      <c r="F249" t="s">
        <v>280</v>
      </c>
    </row>
    <row r="250" spans="1:6" x14ac:dyDescent="0.35">
      <c r="A250" t="s">
        <v>165</v>
      </c>
      <c r="B250" t="s">
        <v>193</v>
      </c>
      <c r="C250">
        <f>1/11.83</f>
        <v>8.453085376162299E-2</v>
      </c>
      <c r="D250" t="s">
        <v>194</v>
      </c>
      <c r="E250" t="s">
        <v>199</v>
      </c>
      <c r="F250" t="s">
        <v>281</v>
      </c>
    </row>
    <row r="251" spans="1:6" x14ac:dyDescent="0.35">
      <c r="A251" t="s">
        <v>166</v>
      </c>
      <c r="B251" t="s">
        <v>193</v>
      </c>
      <c r="C251">
        <f>3.6</f>
        <v>3.6</v>
      </c>
      <c r="D251" t="s">
        <v>200</v>
      </c>
      <c r="E251" t="s">
        <v>199</v>
      </c>
    </row>
    <row r="252" spans="1:6" x14ac:dyDescent="0.35">
      <c r="A252" t="s">
        <v>166</v>
      </c>
      <c r="B252" t="s">
        <v>193</v>
      </c>
      <c r="C252">
        <f>1/3.6</f>
        <v>0.27777777777777779</v>
      </c>
      <c r="D252" t="s">
        <v>199</v>
      </c>
      <c r="E252" t="s">
        <v>200</v>
      </c>
    </row>
    <row r="253" spans="1:6" x14ac:dyDescent="0.35">
      <c r="A253" t="s">
        <v>167</v>
      </c>
      <c r="B253" t="s">
        <v>193</v>
      </c>
      <c r="C253">
        <f>1 * 3.6 / 50.285</f>
        <v>7.1591926021676452E-2</v>
      </c>
      <c r="D253" t="s">
        <v>194</v>
      </c>
      <c r="E253" t="s">
        <v>199</v>
      </c>
      <c r="F253" t="s">
        <v>282</v>
      </c>
    </row>
    <row r="254" spans="1:6" x14ac:dyDescent="0.35">
      <c r="A254" t="s">
        <v>168</v>
      </c>
      <c r="B254" t="s">
        <v>193</v>
      </c>
      <c r="C254">
        <f>1/(9.06*0.95)</f>
        <v>0.11618450098756827</v>
      </c>
      <c r="D254" t="s">
        <v>194</v>
      </c>
      <c r="E254" t="s">
        <v>199</v>
      </c>
      <c r="F254" t="s">
        <v>283</v>
      </c>
    </row>
    <row r="255" spans="1:6" x14ac:dyDescent="0.35">
      <c r="A255" t="s">
        <v>169</v>
      </c>
      <c r="B255" t="s">
        <v>193</v>
      </c>
      <c r="C255">
        <f>3.6</f>
        <v>3.6</v>
      </c>
      <c r="D255" t="s">
        <v>200</v>
      </c>
      <c r="E255" t="s">
        <v>199</v>
      </c>
    </row>
    <row r="256" spans="1:6" x14ac:dyDescent="0.35">
      <c r="A256" t="s">
        <v>169</v>
      </c>
      <c r="B256" t="s">
        <v>193</v>
      </c>
      <c r="C256">
        <f>1/3.6</f>
        <v>0.27777777777777779</v>
      </c>
      <c r="D256" t="s">
        <v>199</v>
      </c>
      <c r="E256" t="s">
        <v>200</v>
      </c>
    </row>
    <row r="257" spans="1:6" x14ac:dyDescent="0.35">
      <c r="A257" t="s">
        <v>170</v>
      </c>
      <c r="B257" t="s">
        <v>193</v>
      </c>
      <c r="C257">
        <f>1/10.83</f>
        <v>9.2336103416435819E-2</v>
      </c>
      <c r="D257" t="s">
        <v>194</v>
      </c>
      <c r="E257" t="s">
        <v>199</v>
      </c>
      <c r="F257" t="s">
        <v>284</v>
      </c>
    </row>
    <row r="258" spans="1:6" x14ac:dyDescent="0.35">
      <c r="A258" t="s">
        <v>171</v>
      </c>
      <c r="B258" t="s">
        <v>193</v>
      </c>
      <c r="C258">
        <f>1 / (33.3)</f>
        <v>3.0030030030030033E-2</v>
      </c>
      <c r="D258" t="s">
        <v>194</v>
      </c>
      <c r="E258" t="s">
        <v>199</v>
      </c>
      <c r="F258" t="s">
        <v>245</v>
      </c>
    </row>
    <row r="259" spans="1:6" x14ac:dyDescent="0.35">
      <c r="A259" t="s">
        <v>172</v>
      </c>
      <c r="B259" t="s">
        <v>193</v>
      </c>
      <c r="C259">
        <f>1/11.94</f>
        <v>8.3752093802345065E-2</v>
      </c>
      <c r="D259" t="s">
        <v>194</v>
      </c>
      <c r="E259" t="s">
        <v>199</v>
      </c>
      <c r="F259" t="s">
        <v>285</v>
      </c>
    </row>
    <row r="260" spans="1:6" x14ac:dyDescent="0.35">
      <c r="A260" t="s">
        <v>173</v>
      </c>
      <c r="B260" t="s">
        <v>193</v>
      </c>
      <c r="C260">
        <f>1/11.28</f>
        <v>8.8652482269503549E-2</v>
      </c>
      <c r="D260" t="s">
        <v>194</v>
      </c>
      <c r="E260" t="s">
        <v>199</v>
      </c>
      <c r="F260" t="s">
        <v>286</v>
      </c>
    </row>
    <row r="261" spans="1:6" x14ac:dyDescent="0.35">
      <c r="A261" t="s">
        <v>174</v>
      </c>
      <c r="B261" t="s">
        <v>193</v>
      </c>
      <c r="C261">
        <f>1/(3.89*0.95)</f>
        <v>0.27059937762143149</v>
      </c>
      <c r="D261" t="s">
        <v>194</v>
      </c>
      <c r="E261" t="s">
        <v>199</v>
      </c>
      <c r="F261" t="s">
        <v>287</v>
      </c>
    </row>
    <row r="262" spans="1:6" x14ac:dyDescent="0.35">
      <c r="A262" t="s">
        <v>175</v>
      </c>
      <c r="B262" t="s">
        <v>193</v>
      </c>
      <c r="C262">
        <f>1/(15*0.95/3.6)</f>
        <v>0.25263157894736843</v>
      </c>
      <c r="D262" t="s">
        <v>194</v>
      </c>
      <c r="E262" t="s">
        <v>199</v>
      </c>
      <c r="F262" t="s">
        <v>275</v>
      </c>
    </row>
    <row r="263" spans="1:6" x14ac:dyDescent="0.35">
      <c r="A263" t="s">
        <v>176</v>
      </c>
      <c r="B263" t="s">
        <v>193</v>
      </c>
      <c r="C263">
        <f>1 / 5.54</f>
        <v>0.18050541516245489</v>
      </c>
      <c r="D263" t="s">
        <v>194</v>
      </c>
      <c r="E263" t="s">
        <v>199</v>
      </c>
      <c r="F263" t="s">
        <v>259</v>
      </c>
    </row>
    <row r="264" spans="1:6" x14ac:dyDescent="0.35">
      <c r="A264" t="s">
        <v>177</v>
      </c>
      <c r="B264" t="s">
        <v>193</v>
      </c>
      <c r="C264">
        <f>1 / (13.1*0.777)</f>
        <v>9.8244373053533368E-2</v>
      </c>
      <c r="D264" t="s">
        <v>202</v>
      </c>
      <c r="E264" t="s">
        <v>199</v>
      </c>
      <c r="F264" t="s">
        <v>288</v>
      </c>
    </row>
    <row r="265" spans="1:6" x14ac:dyDescent="0.35">
      <c r="A265" t="s">
        <v>177</v>
      </c>
      <c r="B265" t="s">
        <v>193</v>
      </c>
      <c r="C265">
        <f>1 / (13.1)</f>
        <v>7.6335877862595422E-2</v>
      </c>
      <c r="D265" t="s">
        <v>194</v>
      </c>
      <c r="E265" t="s">
        <v>199</v>
      </c>
      <c r="F265" t="s">
        <v>289</v>
      </c>
    </row>
    <row r="266" spans="1:6" x14ac:dyDescent="0.35">
      <c r="A266" t="s">
        <v>177</v>
      </c>
      <c r="B266" t="s">
        <v>193</v>
      </c>
      <c r="C266">
        <f>0.777</f>
        <v>0.77700000000000002</v>
      </c>
      <c r="D266" t="s">
        <v>194</v>
      </c>
      <c r="E266" t="s">
        <v>202</v>
      </c>
      <c r="F266" t="s">
        <v>279</v>
      </c>
    </row>
    <row r="267" spans="1:6" x14ac:dyDescent="0.35">
      <c r="A267" t="s">
        <v>177</v>
      </c>
      <c r="B267" t="s">
        <v>193</v>
      </c>
      <c r="C267">
        <f>1/0.777</f>
        <v>1.287001287001287</v>
      </c>
      <c r="D267" t="s">
        <v>202</v>
      </c>
      <c r="E267" t="s">
        <v>194</v>
      </c>
      <c r="F267" t="s">
        <v>279</v>
      </c>
    </row>
    <row r="268" spans="1:6" x14ac:dyDescent="0.35">
      <c r="A268" t="s">
        <v>178</v>
      </c>
      <c r="B268" t="s">
        <v>193</v>
      </c>
      <c r="C268">
        <f>1/(3900*1000/3.6)</f>
        <v>9.2307692307692312E-7</v>
      </c>
      <c r="D268" t="s">
        <v>194</v>
      </c>
      <c r="E268" t="s">
        <v>199</v>
      </c>
      <c r="F268" t="s">
        <v>273</v>
      </c>
    </row>
    <row r="269" spans="1:6" x14ac:dyDescent="0.35">
      <c r="A269" t="s">
        <v>179</v>
      </c>
      <c r="B269" t="s">
        <v>193</v>
      </c>
      <c r="C269">
        <f>1 / 12.06</f>
        <v>8.2918739635157543E-2</v>
      </c>
      <c r="D269" t="s">
        <v>194</v>
      </c>
      <c r="E269" t="s">
        <v>199</v>
      </c>
      <c r="F269" t="s">
        <v>290</v>
      </c>
    </row>
    <row r="270" spans="1:6" x14ac:dyDescent="0.35">
      <c r="A270" t="s">
        <v>180</v>
      </c>
      <c r="B270" t="s">
        <v>193</v>
      </c>
      <c r="C270">
        <f>1 * 3.6 / 45.799</f>
        <v>7.8604336339221384E-2</v>
      </c>
      <c r="D270" t="s">
        <v>194</v>
      </c>
      <c r="E270" t="s">
        <v>199</v>
      </c>
      <c r="F270" t="s">
        <v>291</v>
      </c>
    </row>
    <row r="271" spans="1:6" x14ac:dyDescent="0.35">
      <c r="A271" t="s">
        <v>181</v>
      </c>
      <c r="B271" t="s">
        <v>193</v>
      </c>
      <c r="C271">
        <f>1/4.28</f>
        <v>0.23364485981308411</v>
      </c>
      <c r="D271" t="s">
        <v>194</v>
      </c>
      <c r="E271" t="s">
        <v>199</v>
      </c>
      <c r="F271" t="s">
        <v>280</v>
      </c>
    </row>
    <row r="272" spans="1:6" x14ac:dyDescent="0.35">
      <c r="A272" t="s">
        <v>182</v>
      </c>
      <c r="B272" t="s">
        <v>193</v>
      </c>
      <c r="C272">
        <f>1/0.47</f>
        <v>2.1276595744680851</v>
      </c>
      <c r="D272" t="s">
        <v>202</v>
      </c>
      <c r="E272" t="s">
        <v>194</v>
      </c>
      <c r="F272" t="s">
        <v>292</v>
      </c>
    </row>
    <row r="273" spans="1:6" x14ac:dyDescent="0.35">
      <c r="A273" t="s">
        <v>182</v>
      </c>
      <c r="B273" t="s">
        <v>193</v>
      </c>
      <c r="C273">
        <f>0.47</f>
        <v>0.47</v>
      </c>
      <c r="D273" t="s">
        <v>194</v>
      </c>
      <c r="E273" t="s">
        <v>202</v>
      </c>
      <c r="F273" t="s">
        <v>292</v>
      </c>
    </row>
    <row r="274" spans="1:6" x14ac:dyDescent="0.35">
      <c r="A274" t="s">
        <v>183</v>
      </c>
      <c r="B274" t="s">
        <v>193</v>
      </c>
      <c r="C274">
        <f>3.6/5.4</f>
        <v>0.66666666666666663</v>
      </c>
      <c r="D274" t="s">
        <v>202</v>
      </c>
      <c r="E274" t="s">
        <v>199</v>
      </c>
      <c r="F274" t="s">
        <v>293</v>
      </c>
    </row>
    <row r="275" spans="1:6" x14ac:dyDescent="0.35">
      <c r="A275" t="s">
        <v>184</v>
      </c>
      <c r="B275" t="s">
        <v>193</v>
      </c>
      <c r="C275">
        <f>1/4.28</f>
        <v>0.23364485981308411</v>
      </c>
      <c r="D275" t="s">
        <v>194</v>
      </c>
      <c r="E275" t="s">
        <v>199</v>
      </c>
      <c r="F275" t="s">
        <v>280</v>
      </c>
    </row>
    <row r="276" spans="1:6" x14ac:dyDescent="0.35">
      <c r="A276" t="s">
        <v>185</v>
      </c>
      <c r="B276" t="s">
        <v>193</v>
      </c>
      <c r="C276">
        <f>1/4.28</f>
        <v>0.23364485981308411</v>
      </c>
      <c r="D276" t="s">
        <v>194</v>
      </c>
      <c r="E276" t="s">
        <v>199</v>
      </c>
      <c r="F276" t="s">
        <v>280</v>
      </c>
    </row>
    <row r="277" spans="1:6" x14ac:dyDescent="0.35">
      <c r="A277" t="s">
        <v>186</v>
      </c>
      <c r="B277" t="s">
        <v>193</v>
      </c>
      <c r="C277">
        <f>1/4.28</f>
        <v>0.23364485981308411</v>
      </c>
      <c r="D277" t="s">
        <v>194</v>
      </c>
      <c r="E277" t="s">
        <v>199</v>
      </c>
      <c r="F277" t="s">
        <v>280</v>
      </c>
    </row>
    <row r="278" spans="1:6" x14ac:dyDescent="0.35">
      <c r="A278" t="s">
        <v>187</v>
      </c>
      <c r="B278" t="s">
        <v>193</v>
      </c>
      <c r="C278">
        <f>1/4.28</f>
        <v>0.23364485981308411</v>
      </c>
      <c r="D278" t="s">
        <v>194</v>
      </c>
      <c r="E278" t="s">
        <v>199</v>
      </c>
      <c r="F27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Matthieu Souttre</cp:lastModifiedBy>
  <dcterms:created xsi:type="dcterms:W3CDTF">2025-12-01T22:38:37Z</dcterms:created>
  <dcterms:modified xsi:type="dcterms:W3CDTF">2025-12-02T20:19:19Z</dcterms:modified>
</cp:coreProperties>
</file>